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rian\Desktop\uni\AP\Project\Plants-vs-Zombies-2\ap project documents\"/>
    </mc:Choice>
  </mc:AlternateContent>
  <xr:revisionPtr revIDLastSave="0" documentId="13_ncr:1_{331A82A6-F326-4FF2-8487-DCDCA4320BF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<sst xmlns="http://schemas.openxmlformats.org/spreadsheetml/2006/main" count="2570" uniqueCount="785">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</sst>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9" fillId="10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4" fillId="5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2" t="s">
        <v>0</v>
      </c>
      <c r="B1" s="42"/>
      <c r="C1" s="42"/>
      <c r="D1" s="42"/>
      <c r="E1" s="42"/>
      <c r="F1" s="42"/>
      <c r="G1" s="42"/>
      <c r="H1" s="42"/>
    </row>
    <row r="3" spans="1:8" ht="15.6">
      <c r="A3" s="1" t="s">
        <v>1</v>
      </c>
      <c r="B3" s="43" t="s">
        <v>2</v>
      </c>
      <c r="C3" s="44"/>
      <c r="D3" s="45"/>
    </row>
    <row r="5" spans="1:8" ht="27.15" customHeight="1">
      <c r="A5" s="46" t="s">
        <v>3</v>
      </c>
      <c r="B5" s="46"/>
      <c r="C5" s="46"/>
      <c r="D5" s="46"/>
      <c r="E5" s="46"/>
      <c r="F5" s="46"/>
      <c r="G5" s="46"/>
      <c r="H5" s="46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47" t="s">
        <v>8</v>
      </c>
      <c r="G7" s="47"/>
      <c r="H7" s="47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48" t="s">
        <v>10</v>
      </c>
      <c r="G8" s="49"/>
      <c r="H8" s="50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1"/>
      <c r="G9" s="52"/>
      <c r="H9" s="53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1"/>
      <c r="G10" s="52"/>
      <c r="H10" s="53"/>
    </row>
    <row r="11" spans="1:8">
      <c r="A11" s="5" t="s">
        <v>13</v>
      </c>
      <c r="B11" s="36">
        <f>_logic_p2!IF5</f>
        <v>3740</v>
      </c>
      <c r="C11" s="30">
        <f>_logic_p2!IF4</f>
        <v>4045</v>
      </c>
      <c r="D11" s="33">
        <f t="shared" si="0"/>
        <v>0.92459826946847956</v>
      </c>
      <c r="F11" s="51"/>
      <c r="G11" s="52"/>
      <c r="H11" s="53"/>
    </row>
    <row r="12" spans="1:8">
      <c r="A12" s="5" t="s">
        <v>14</v>
      </c>
      <c r="B12" s="36">
        <f>_logic_p2!IG5</f>
        <v>365</v>
      </c>
      <c r="C12" s="30">
        <f>_logic_p2!IG4</f>
        <v>2425</v>
      </c>
      <c r="D12" s="33">
        <f t="shared" si="0"/>
        <v>0.15051546391752577</v>
      </c>
      <c r="F12" s="51"/>
      <c r="G12" s="52"/>
      <c r="H12" s="53"/>
    </row>
    <row r="13" spans="1:8">
      <c r="A13" s="5" t="s">
        <v>15</v>
      </c>
      <c r="B13" s="36">
        <f>_logic_p2!IH5</f>
        <v>4045</v>
      </c>
      <c r="C13" s="30">
        <f>_logic_p2!IH4</f>
        <v>4045</v>
      </c>
      <c r="D13" s="33">
        <f t="shared" si="0"/>
        <v>1</v>
      </c>
      <c r="F13" s="51"/>
      <c r="G13" s="52"/>
      <c r="H13" s="53"/>
    </row>
    <row r="14" spans="1:8">
      <c r="A14" s="6" t="s">
        <v>16</v>
      </c>
      <c r="B14" s="37">
        <f>_logic_p2!II5</f>
        <v>330</v>
      </c>
      <c r="C14" s="31">
        <f>_logic_p2!II4</f>
        <v>835</v>
      </c>
      <c r="D14" s="34">
        <f t="shared" si="0"/>
        <v>0.39520958083832336</v>
      </c>
      <c r="F14" s="54"/>
      <c r="G14" s="55"/>
      <c r="H14" s="56"/>
    </row>
    <row r="16" spans="1:8" ht="14.4">
      <c r="A16" s="41" t="s">
        <v>17</v>
      </c>
      <c r="B16" s="41"/>
      <c r="C16" s="41"/>
      <c r="D16" s="41"/>
      <c r="E16" s="41"/>
      <c r="F16" s="41"/>
      <c r="G16" s="41"/>
      <c r="H16" s="41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18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20</v>
      </c>
      <c r="B7" s="60"/>
    </row>
    <row r="8" spans="1:11" ht="17.399999999999999">
      <c r="A8" s="61" t="str">
        <f>IF(_logic_p0!BA5="",0,_logic_p0!BA5)&amp;" / "&amp;_logic_p0!BA4</f>
        <v>0 / 380</v>
      </c>
      <c r="B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154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156</v>
      </c>
      <c r="D7" s="60"/>
    </row>
    <row r="8" spans="1:11" ht="17.399999999999999">
      <c r="A8" s="61" t="str">
        <f>_logic_p1!EE5&amp;" / "&amp;_logic_p1!EE4</f>
        <v>0 / 5495</v>
      </c>
      <c r="B8" s="61"/>
      <c r="C8" s="61" t="str">
        <f>_logic_p1!EF5&amp;" / "&amp;_logic_p1!EF4</f>
        <v>0 / 60</v>
      </c>
      <c r="D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211" zoomScale="96" workbookViewId="0">
      <selection activeCell="E223" sqref="E223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393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394</v>
      </c>
      <c r="D7" s="60"/>
      <c r="E7" s="60" t="s">
        <v>395</v>
      </c>
      <c r="F7" s="60"/>
      <c r="G7" s="60" t="s">
        <v>156</v>
      </c>
      <c r="H7" s="60"/>
    </row>
    <row r="8" spans="1:11" ht="17.399999999999999">
      <c r="A8" s="61" t="str">
        <f>_logic_p2!IF5&amp;" / "&amp;_logic_p2!IF4</f>
        <v>3740 / 4045</v>
      </c>
      <c r="B8" s="61"/>
      <c r="C8" s="61" t="str">
        <f>_logic_p2!IG5&amp;" / "&amp;_logic_p2!IG4</f>
        <v>365 / 2425</v>
      </c>
      <c r="D8" s="61"/>
      <c r="E8" s="61" t="str">
        <f>_logic_p2!IH5&amp;" / "&amp;_logic_p2!IH4</f>
        <v>4045 / 4045</v>
      </c>
      <c r="F8" s="61"/>
      <c r="G8" s="61" t="str">
        <f>_logic_p2!II5&amp;" / "&amp;_logic_p2!II4</f>
        <v>330 / 835</v>
      </c>
      <c r="H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1</v>
      </c>
      <c r="F76" s="20"/>
      <c r="G76" s="23">
        <f t="shared" si="3"/>
        <v>40</v>
      </c>
      <c r="H76" s="14">
        <f t="shared" si="4"/>
        <v>0</v>
      </c>
      <c r="I76" s="10" t="str">
        <f t="shared" si="5"/>
        <v>Done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1</v>
      </c>
      <c r="F133" s="20"/>
      <c r="G133" s="23">
        <f t="shared" si="3"/>
        <v>30</v>
      </c>
      <c r="H133" s="14">
        <f t="shared" si="4"/>
        <v>0</v>
      </c>
      <c r="I133" s="10" t="str">
        <f t="shared" si="5"/>
        <v>Done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1</v>
      </c>
      <c r="F134" s="20"/>
      <c r="G134" s="23">
        <f t="shared" si="3"/>
        <v>25</v>
      </c>
      <c r="H134" s="14">
        <f t="shared" si="4"/>
        <v>0</v>
      </c>
      <c r="I134" s="10" t="str">
        <f t="shared" si="5"/>
        <v>Done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1</v>
      </c>
      <c r="F135" s="20"/>
      <c r="G135" s="23">
        <f t="shared" si="3"/>
        <v>35</v>
      </c>
      <c r="H135" s="14">
        <f t="shared" si="4"/>
        <v>0</v>
      </c>
      <c r="I135" s="10" t="str">
        <f t="shared" si="5"/>
        <v>Done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1</v>
      </c>
      <c r="F136" s="20"/>
      <c r="G136" s="23">
        <f t="shared" si="3"/>
        <v>25</v>
      </c>
      <c r="H136" s="14">
        <f t="shared" si="4"/>
        <v>0</v>
      </c>
      <c r="I136" s="10" t="str">
        <f t="shared" si="5"/>
        <v>Done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1</v>
      </c>
      <c r="F137" s="20"/>
      <c r="G137" s="23">
        <f t="shared" si="3"/>
        <v>25</v>
      </c>
      <c r="H137" s="14">
        <f t="shared" si="4"/>
        <v>0</v>
      </c>
      <c r="I137" s="10" t="str">
        <f t="shared" si="5"/>
        <v>Done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1</v>
      </c>
      <c r="F138" s="20"/>
      <c r="G138" s="23">
        <f t="shared" si="3"/>
        <v>10</v>
      </c>
      <c r="H138" s="14">
        <f t="shared" si="4"/>
        <v>0</v>
      </c>
      <c r="I138" s="10" t="str">
        <f t="shared" si="5"/>
        <v>Done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1</v>
      </c>
      <c r="F139" s="20"/>
      <c r="G139" s="23">
        <f t="shared" ref="G139:G202" si="6">IF(E139,D139,IF(F139="",0,MIN(MAX(F139,0),D139)))</f>
        <v>30</v>
      </c>
      <c r="H139" s="14">
        <f t="shared" ref="H139:H202" si="7">MAX(D139-G139,0)</f>
        <v>0</v>
      </c>
      <c r="I139" s="10" t="str">
        <f t="shared" ref="I139:I202" si="8">IF(D139=0,"No points attached",IF(G139=D139,"Done",IF(G139=0,"Do: "&amp;C139,"Finish: "&amp;C139&amp;" ("&amp;TEXT(H139,"0.##")&amp;" pts left)")))</f>
        <v>Done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1</v>
      </c>
      <c r="F140" s="20"/>
      <c r="G140" s="23">
        <f t="shared" si="6"/>
        <v>50</v>
      </c>
      <c r="H140" s="14">
        <f t="shared" si="7"/>
        <v>0</v>
      </c>
      <c r="I140" s="10" t="str">
        <f t="shared" si="8"/>
        <v>Done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1</v>
      </c>
      <c r="F141" s="20"/>
      <c r="G141" s="23">
        <f t="shared" si="6"/>
        <v>25</v>
      </c>
      <c r="H141" s="14">
        <f t="shared" si="7"/>
        <v>0</v>
      </c>
      <c r="I141" s="10" t="str">
        <f t="shared" si="8"/>
        <v>Done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1</v>
      </c>
      <c r="F142" s="20"/>
      <c r="G142" s="23">
        <f t="shared" si="6"/>
        <v>25</v>
      </c>
      <c r="H142" s="14">
        <f t="shared" si="7"/>
        <v>0</v>
      </c>
      <c r="I142" s="10" t="str">
        <f t="shared" si="8"/>
        <v>Done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1</v>
      </c>
      <c r="F143" s="20"/>
      <c r="G143" s="23">
        <f t="shared" si="6"/>
        <v>30</v>
      </c>
      <c r="H143" s="14">
        <f t="shared" si="7"/>
        <v>0</v>
      </c>
      <c r="I143" s="10" t="str">
        <f t="shared" si="8"/>
        <v>Done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1</v>
      </c>
      <c r="F144" s="20"/>
      <c r="G144" s="23">
        <f t="shared" si="6"/>
        <v>20</v>
      </c>
      <c r="H144" s="14">
        <f t="shared" si="7"/>
        <v>0</v>
      </c>
      <c r="I144" s="10" t="str">
        <f t="shared" si="8"/>
        <v>Done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1</v>
      </c>
      <c r="F145" s="20"/>
      <c r="G145" s="23">
        <f t="shared" si="6"/>
        <v>25</v>
      </c>
      <c r="H145" s="14">
        <f t="shared" si="7"/>
        <v>0</v>
      </c>
      <c r="I145" s="10" t="str">
        <f t="shared" si="8"/>
        <v>Done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1</v>
      </c>
      <c r="F146" s="20"/>
      <c r="G146" s="23">
        <f t="shared" si="6"/>
        <v>25</v>
      </c>
      <c r="H146" s="14">
        <f t="shared" si="7"/>
        <v>0</v>
      </c>
      <c r="I146" s="10" t="str">
        <f t="shared" si="8"/>
        <v>Done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1</v>
      </c>
      <c r="F147" s="20"/>
      <c r="G147" s="23">
        <f t="shared" si="6"/>
        <v>10</v>
      </c>
      <c r="H147" s="14">
        <f t="shared" si="7"/>
        <v>0</v>
      </c>
      <c r="I147" s="10" t="str">
        <f t="shared" si="8"/>
        <v>Done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1</v>
      </c>
      <c r="F148" s="20"/>
      <c r="G148" s="23">
        <f t="shared" si="6"/>
        <v>25</v>
      </c>
      <c r="H148" s="14">
        <f t="shared" si="7"/>
        <v>0</v>
      </c>
      <c r="I148" s="10" t="str">
        <f t="shared" si="8"/>
        <v>Done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1</v>
      </c>
      <c r="F149" s="20"/>
      <c r="G149" s="23">
        <f t="shared" si="6"/>
        <v>50</v>
      </c>
      <c r="H149" s="14">
        <f t="shared" si="7"/>
        <v>0</v>
      </c>
      <c r="I149" s="10" t="str">
        <f t="shared" si="8"/>
        <v>Done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1</v>
      </c>
      <c r="F150" s="20"/>
      <c r="G150" s="23">
        <f t="shared" si="6"/>
        <v>20</v>
      </c>
      <c r="H150" s="14">
        <f t="shared" si="7"/>
        <v>0</v>
      </c>
      <c r="I150" s="10" t="str">
        <f t="shared" si="8"/>
        <v>Done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1</v>
      </c>
      <c r="F151" s="20"/>
      <c r="G151" s="23">
        <f t="shared" si="6"/>
        <v>10</v>
      </c>
      <c r="H151" s="14">
        <f t="shared" si="7"/>
        <v>0</v>
      </c>
      <c r="I151" s="10" t="str">
        <f t="shared" si="8"/>
        <v>Done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1</v>
      </c>
      <c r="F152" s="20"/>
      <c r="G152" s="23">
        <f t="shared" si="6"/>
        <v>15</v>
      </c>
      <c r="H152" s="14">
        <f t="shared" si="7"/>
        <v>0</v>
      </c>
      <c r="I152" s="10" t="str">
        <f t="shared" si="8"/>
        <v>Done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1</v>
      </c>
      <c r="F153" s="20"/>
      <c r="G153" s="23">
        <f t="shared" si="6"/>
        <v>25</v>
      </c>
      <c r="H153" s="14">
        <f t="shared" si="7"/>
        <v>0</v>
      </c>
      <c r="I153" s="10" t="str">
        <f t="shared" si="8"/>
        <v>Done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1</v>
      </c>
      <c r="F154" s="20"/>
      <c r="G154" s="23">
        <f t="shared" si="6"/>
        <v>15</v>
      </c>
      <c r="H154" s="14">
        <f t="shared" si="7"/>
        <v>0</v>
      </c>
      <c r="I154" s="10" t="str">
        <f t="shared" si="8"/>
        <v>Done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1</v>
      </c>
      <c r="F206" s="20"/>
      <c r="G206" s="23">
        <f t="shared" si="9"/>
        <v>55</v>
      </c>
      <c r="H206" s="14">
        <f t="shared" si="10"/>
        <v>0</v>
      </c>
      <c r="I206" s="10" t="str">
        <f t="shared" si="11"/>
        <v>Done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1</v>
      </c>
      <c r="F207" s="20"/>
      <c r="G207" s="23">
        <f t="shared" si="9"/>
        <v>30</v>
      </c>
      <c r="H207" s="14">
        <f t="shared" si="10"/>
        <v>0</v>
      </c>
      <c r="I207" s="10" t="str">
        <f t="shared" si="11"/>
        <v>Done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1</v>
      </c>
      <c r="F214" s="20"/>
      <c r="G214" s="23">
        <f t="shared" si="9"/>
        <v>5</v>
      </c>
      <c r="H214" s="14">
        <f t="shared" si="10"/>
        <v>0</v>
      </c>
      <c r="I214" s="10" t="str">
        <f t="shared" si="11"/>
        <v>Done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1</v>
      </c>
      <c r="F215" s="20"/>
      <c r="G215" s="23">
        <f t="shared" si="9"/>
        <v>20</v>
      </c>
      <c r="H215" s="14">
        <f t="shared" si="10"/>
        <v>0</v>
      </c>
      <c r="I215" s="10" t="str">
        <f t="shared" si="11"/>
        <v>Done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1</v>
      </c>
      <c r="F216" s="20"/>
      <c r="G216" s="23">
        <f t="shared" si="9"/>
        <v>15</v>
      </c>
      <c r="H216" s="14">
        <f t="shared" si="10"/>
        <v>0</v>
      </c>
      <c r="I216" s="10" t="str">
        <f t="shared" si="11"/>
        <v>Done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1</v>
      </c>
      <c r="F217" s="20"/>
      <c r="G217" s="23">
        <f t="shared" si="9"/>
        <v>25</v>
      </c>
      <c r="H217" s="14">
        <f t="shared" si="10"/>
        <v>0</v>
      </c>
      <c r="I217" s="10" t="str">
        <f t="shared" si="11"/>
        <v>Done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1</v>
      </c>
      <c r="F218" s="20"/>
      <c r="G218" s="23">
        <f t="shared" si="9"/>
        <v>30</v>
      </c>
      <c r="H218" s="14">
        <f t="shared" si="10"/>
        <v>0</v>
      </c>
      <c r="I218" s="10" t="str">
        <f t="shared" si="11"/>
        <v>Done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1</v>
      </c>
      <c r="F219" s="20"/>
      <c r="G219" s="23">
        <f t="shared" si="9"/>
        <v>25</v>
      </c>
      <c r="H219" s="14">
        <f t="shared" si="10"/>
        <v>0</v>
      </c>
      <c r="I219" s="10" t="str">
        <f t="shared" si="11"/>
        <v>Done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1</v>
      </c>
      <c r="F227" s="20"/>
      <c r="G227" s="23">
        <f t="shared" si="9"/>
        <v>25</v>
      </c>
      <c r="H227" s="14">
        <f t="shared" si="10"/>
        <v>0</v>
      </c>
      <c r="I227" s="10" t="str">
        <f t="shared" si="11"/>
        <v>Done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1</v>
      </c>
      <c r="F228" s="20"/>
      <c r="G228" s="23">
        <f t="shared" si="9"/>
        <v>20</v>
      </c>
      <c r="H228" s="14">
        <f t="shared" si="10"/>
        <v>0</v>
      </c>
      <c r="I228" s="10" t="str">
        <f t="shared" si="11"/>
        <v>Done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1</v>
      </c>
      <c r="F229" s="20"/>
      <c r="G229" s="23">
        <f t="shared" si="9"/>
        <v>15</v>
      </c>
      <c r="H229" s="14">
        <f t="shared" si="10"/>
        <v>0</v>
      </c>
      <c r="I229" s="10" t="str">
        <f t="shared" si="11"/>
        <v>Done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1</v>
      </c>
      <c r="F230" s="20"/>
      <c r="G230" s="23">
        <f t="shared" si="9"/>
        <v>15</v>
      </c>
      <c r="H230" s="14">
        <f t="shared" si="10"/>
        <v>0</v>
      </c>
      <c r="I230" s="10" t="str">
        <f t="shared" si="11"/>
        <v>Done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1</v>
      </c>
      <c r="F231" s="20"/>
      <c r="G231" s="23">
        <f t="shared" si="9"/>
        <v>15</v>
      </c>
      <c r="H231" s="14">
        <f t="shared" si="10"/>
        <v>0</v>
      </c>
      <c r="I231" s="10" t="str">
        <f t="shared" si="11"/>
        <v>Done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1</v>
      </c>
      <c r="F232" s="20"/>
      <c r="G232" s="23">
        <f t="shared" si="9"/>
        <v>15</v>
      </c>
      <c r="H232" s="14">
        <f t="shared" si="10"/>
        <v>0</v>
      </c>
      <c r="I232" s="10" t="str">
        <f t="shared" si="11"/>
        <v>Done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0</v>
      </c>
      <c r="F233" s="20"/>
      <c r="G233" s="23">
        <f t="shared" si="9"/>
        <v>0</v>
      </c>
      <c r="H233" s="14">
        <f t="shared" si="10"/>
        <v>15</v>
      </c>
      <c r="I233" s="10" t="str">
        <f t="shared" si="11"/>
        <v>Do: موشک ماموت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0</v>
      </c>
      <c r="F234" s="20"/>
      <c r="G234" s="23">
        <f t="shared" si="9"/>
        <v>0</v>
      </c>
      <c r="H234" s="14">
        <f t="shared" si="10"/>
        <v>15</v>
      </c>
      <c r="I234" s="10" t="str">
        <f t="shared" si="11"/>
        <v>Do: باد یخی ماموت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0</v>
      </c>
      <c r="F235" s="20"/>
      <c r="G235" s="23">
        <f t="shared" si="9"/>
        <v>0</v>
      </c>
      <c r="H235" s="14">
        <f t="shared" si="10"/>
        <v>25</v>
      </c>
      <c r="I235" s="10" t="str">
        <f t="shared" si="11"/>
        <v>Do: زامبی‌های یخ‌زده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0</v>
      </c>
      <c r="F236" s="20"/>
      <c r="G236" s="23">
        <f t="shared" si="9"/>
        <v>0</v>
      </c>
      <c r="H236" s="14">
        <f t="shared" si="10"/>
        <v>15</v>
      </c>
      <c r="I236" s="10" t="str">
        <f t="shared" si="11"/>
        <v>Do: انیمیشن باد یخی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0</v>
      </c>
      <c r="F237" s="20"/>
      <c r="G237" s="23">
        <f t="shared" si="9"/>
        <v>0</v>
      </c>
      <c r="H237" s="14">
        <f t="shared" si="10"/>
        <v>15</v>
      </c>
      <c r="I237" s="10" t="str">
        <f t="shared" si="11"/>
        <v>Do: انیمیشن حالت بیکار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0</v>
      </c>
      <c r="F238" s="20"/>
      <c r="G238" s="23">
        <f t="shared" si="9"/>
        <v>0</v>
      </c>
      <c r="H238" s="14">
        <f t="shared" si="10"/>
        <v>15</v>
      </c>
      <c r="I238" s="10" t="str">
        <f t="shared" si="11"/>
        <v>Do: انیمیشن پرتاب موشک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0</v>
      </c>
      <c r="F239" s="20"/>
      <c r="G239" s="23">
        <f t="shared" si="9"/>
        <v>0</v>
      </c>
      <c r="H239" s="14">
        <f t="shared" si="10"/>
        <v>15</v>
      </c>
      <c r="I239" s="10" t="str">
        <f t="shared" si="11"/>
        <v>Do: انیمیشن ظاهر کردن زامبی یخی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0</v>
      </c>
      <c r="F240" s="20"/>
      <c r="G240" s="23">
        <f t="shared" si="9"/>
        <v>0</v>
      </c>
      <c r="H240" s="14">
        <f t="shared" si="10"/>
        <v>15</v>
      </c>
      <c r="I240" s="10" t="str">
        <f t="shared" si="11"/>
        <v>Do: کوسه‌های کوچک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0</v>
      </c>
      <c r="F241" s="20"/>
      <c r="G241" s="23">
        <f t="shared" si="9"/>
        <v>0</v>
      </c>
      <c r="H241" s="14">
        <f t="shared" si="10"/>
        <v>30</v>
      </c>
      <c r="I241" s="10" t="str">
        <f t="shared" si="11"/>
        <v>Do: توربین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0</v>
      </c>
      <c r="F242" s="20"/>
      <c r="G242" s="23">
        <f t="shared" si="9"/>
        <v>0</v>
      </c>
      <c r="H242" s="14">
        <f t="shared" si="10"/>
        <v>15</v>
      </c>
      <c r="I242" s="10" t="str">
        <f t="shared" si="11"/>
        <v>Do: انیمیشن حالت بیکار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8" t="b">
        <v>0</v>
      </c>
      <c r="F243" s="21"/>
      <c r="G243" s="24">
        <f t="shared" si="9"/>
        <v>0</v>
      </c>
      <c r="H243" s="15">
        <f t="shared" si="10"/>
        <v>15</v>
      </c>
      <c r="I243" s="12" t="str">
        <f t="shared" si="11"/>
        <v>Do: انیمیشن توربین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3" t="b">
        <v>0</v>
      </c>
      <c r="G244">
        <f t="shared" si="9"/>
        <v>0</v>
      </c>
      <c r="H244">
        <f t="shared" si="10"/>
        <v>15</v>
      </c>
      <c r="I244" t="str">
        <f t="shared" si="11"/>
        <v>Do: انیمیشن ظاهر کردن کوسه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40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30</v>
      </c>
      <c r="DU5" s="28">
        <f>'Phase 2'!G134</f>
        <v>25</v>
      </c>
      <c r="DV5" s="28">
        <f>'Phase 2'!G135</f>
        <v>35</v>
      </c>
      <c r="DW5" s="28">
        <f>'Phase 2'!G136</f>
        <v>25</v>
      </c>
      <c r="DX5" s="28">
        <f>'Phase 2'!G137</f>
        <v>25</v>
      </c>
      <c r="DY5" s="28">
        <f>'Phase 2'!G138</f>
        <v>10</v>
      </c>
      <c r="DZ5" s="28">
        <f>'Phase 2'!G139</f>
        <v>30</v>
      </c>
      <c r="EA5" s="28">
        <f>'Phase 2'!G140</f>
        <v>50</v>
      </c>
      <c r="EB5" s="28">
        <f>'Phase 2'!G141</f>
        <v>25</v>
      </c>
      <c r="EC5" s="28">
        <f>'Phase 2'!G142</f>
        <v>25</v>
      </c>
      <c r="ED5" s="28">
        <f>'Phase 2'!G143</f>
        <v>30</v>
      </c>
      <c r="EE5" s="28">
        <f>'Phase 2'!G144</f>
        <v>20</v>
      </c>
      <c r="EF5" s="28">
        <f>'Phase 2'!G145</f>
        <v>25</v>
      </c>
      <c r="EG5" s="28">
        <f>'Phase 2'!G146</f>
        <v>25</v>
      </c>
      <c r="EH5" s="28">
        <f>'Phase 2'!G147</f>
        <v>10</v>
      </c>
      <c r="EI5" s="28">
        <f>'Phase 2'!G148</f>
        <v>25</v>
      </c>
      <c r="EJ5" s="28">
        <f>'Phase 2'!G149</f>
        <v>50</v>
      </c>
      <c r="EK5" s="28">
        <f>'Phase 2'!G150</f>
        <v>20</v>
      </c>
      <c r="EL5" s="28">
        <f>'Phase 2'!G151</f>
        <v>10</v>
      </c>
      <c r="EM5" s="28">
        <f>'Phase 2'!G152</f>
        <v>15</v>
      </c>
      <c r="EN5" s="28">
        <f>'Phase 2'!G153</f>
        <v>25</v>
      </c>
      <c r="EO5" s="28">
        <f>'Phase 2'!G154</f>
        <v>15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55</v>
      </c>
      <c r="GP5" s="28">
        <f>'Phase 2'!G207</f>
        <v>30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5</v>
      </c>
      <c r="GX5" s="28">
        <f>'Phase 2'!G215</f>
        <v>20</v>
      </c>
      <c r="GY5" s="28">
        <f>'Phase 2'!G216</f>
        <v>15</v>
      </c>
      <c r="GZ5" s="28">
        <f>'Phase 2'!G217</f>
        <v>25</v>
      </c>
      <c r="HA5" s="28">
        <f>'Phase 2'!G218</f>
        <v>30</v>
      </c>
      <c r="HB5" s="28">
        <f>'Phase 2'!G219</f>
        <v>25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25</v>
      </c>
      <c r="HK5" s="28">
        <f>'Phase 2'!G228</f>
        <v>20</v>
      </c>
      <c r="HL5" s="28">
        <f>'Phase 2'!G229</f>
        <v>15</v>
      </c>
      <c r="HM5" s="28">
        <f>'Phase 2'!G230</f>
        <v>15</v>
      </c>
      <c r="HN5" s="28">
        <f>'Phase 2'!G231</f>
        <v>15</v>
      </c>
      <c r="HO5" s="28">
        <f>'Phase 2'!G232</f>
        <v>15</v>
      </c>
      <c r="HP5" s="28">
        <f>'Phase 2'!G233</f>
        <v>0</v>
      </c>
      <c r="HQ5" s="28">
        <f>'Phase 2'!G234</f>
        <v>0</v>
      </c>
      <c r="HR5" s="28">
        <f>'Phase 2'!G235</f>
        <v>0</v>
      </c>
      <c r="HS5" s="28">
        <f>'Phase 2'!G236</f>
        <v>0</v>
      </c>
      <c r="HT5" s="28">
        <f>'Phase 2'!G237</f>
        <v>0</v>
      </c>
      <c r="HU5" s="28">
        <f>'Phase 2'!G238</f>
        <v>0</v>
      </c>
      <c r="HV5" s="28">
        <f>'Phase 2'!G239</f>
        <v>0</v>
      </c>
      <c r="HW5" s="28">
        <f>'Phase 2'!G240</f>
        <v>0</v>
      </c>
      <c r="HX5" s="28">
        <f>'Phase 2'!G241</f>
        <v>0</v>
      </c>
      <c r="HY5" s="28">
        <f>'Phase 2'!G242</f>
        <v>0</v>
      </c>
      <c r="HZ5" s="28">
        <f>'Phase 2'!G243</f>
        <v>0</v>
      </c>
      <c r="IA5" s="28">
        <f>'Phase 2'!G244</f>
        <v>0</v>
      </c>
      <c r="IB5" s="28"/>
      <c r="IC5" s="28"/>
      <c r="ID5" s="28"/>
      <c r="IE5" s="28"/>
      <c r="IF5" s="28">
        <f>SUM(E5:EO5)</f>
        <v>3740</v>
      </c>
      <c r="IG5" s="28">
        <f>SUM(EP5:GN5)</f>
        <v>365</v>
      </c>
      <c r="IH5" s="28">
        <f>MIN(IF5+IG5,IF4)</f>
        <v>4045</v>
      </c>
      <c r="II5" s="28">
        <f>MIN(SUM(GO5:IA5,MAX(IG5+IF5-IF4,0)/3),II4)</f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arian jahanbin</cp:lastModifiedBy>
  <dcterms:modified xsi:type="dcterms:W3CDTF">2026-08-26T11:32:55Z</dcterms:modified>
</cp:coreProperties>
</file>