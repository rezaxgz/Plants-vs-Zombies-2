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ian\Desktop\uni\AP\Project\Plants-vs-Zombies-2\ap project documents\"/>
    </mc:Choice>
  </mc:AlternateContent>
  <xr:revisionPtr revIDLastSave="0" documentId="13_ncr:1_{5747C909-1957-4C91-8EFE-EE2AE206572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shboard" sheetId="7" r:id="rId1"/>
    <sheet name="Phase 0" sheetId="4" r:id="rId2"/>
    <sheet name="Phase 1" sheetId="5" r:id="rId3"/>
    <sheet name="Phase 2" sheetId="6" r:id="rId4"/>
    <sheet name="_logic_p0" sheetId="1" state="hidden" r:id="rId5"/>
    <sheet name="_logic_p1" sheetId="2" state="hidden" r:id="rId6"/>
    <sheet name="_logic_p2" sheetId="3" state="hidden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6" l="1"/>
  <c r="D5" i="3" s="1"/>
  <c r="II4" i="3"/>
  <c r="C14" i="7" s="1"/>
  <c r="IG4" i="3"/>
  <c r="C12" i="7" s="1"/>
  <c r="IF4" i="3"/>
  <c r="IH4" i="3" s="1"/>
  <c r="C13" i="7" s="1"/>
  <c r="EF4" i="2"/>
  <c r="C10" i="7" s="1"/>
  <c r="BA4" i="1"/>
  <c r="C8" i="7" s="1"/>
  <c r="G244" i="6"/>
  <c r="IA5" i="3" s="1"/>
  <c r="G243" i="6"/>
  <c r="G242" i="6"/>
  <c r="HY5" i="3" s="1"/>
  <c r="G241" i="6"/>
  <c r="HX5" i="3" s="1"/>
  <c r="G240" i="6"/>
  <c r="H240" i="6" s="1"/>
  <c r="G239" i="6"/>
  <c r="I239" i="6" s="1"/>
  <c r="G238" i="6"/>
  <c r="G237" i="6"/>
  <c r="HT5" i="3" s="1"/>
  <c r="G236" i="6"/>
  <c r="I236" i="6" s="1"/>
  <c r="G235" i="6"/>
  <c r="H235" i="6" s="1"/>
  <c r="G234" i="6"/>
  <c r="H234" i="6" s="1"/>
  <c r="G233" i="6"/>
  <c r="I233" i="6" s="1"/>
  <c r="G232" i="6"/>
  <c r="I232" i="6" s="1"/>
  <c r="G231" i="6"/>
  <c r="I231" i="6" s="1"/>
  <c r="G230" i="6"/>
  <c r="H230" i="6" s="1"/>
  <c r="G229" i="6"/>
  <c r="HL5" i="3" s="1"/>
  <c r="G228" i="6"/>
  <c r="HK5" i="3" s="1"/>
  <c r="G227" i="6"/>
  <c r="H227" i="6" s="1"/>
  <c r="G226" i="6"/>
  <c r="HI5" i="3" s="1"/>
  <c r="G225" i="6"/>
  <c r="HH5" i="3" s="1"/>
  <c r="G224" i="6"/>
  <c r="HG5" i="3" s="1"/>
  <c r="G223" i="6"/>
  <c r="G222" i="6"/>
  <c r="HE5" i="3" s="1"/>
  <c r="G221" i="6"/>
  <c r="HD5" i="3" s="1"/>
  <c r="G220" i="6"/>
  <c r="H220" i="6" s="1"/>
  <c r="G219" i="6"/>
  <c r="I219" i="6" s="1"/>
  <c r="G218" i="6"/>
  <c r="G217" i="6"/>
  <c r="GZ5" i="3" s="1"/>
  <c r="G216" i="6"/>
  <c r="I216" i="6" s="1"/>
  <c r="G215" i="6"/>
  <c r="I215" i="6" s="1"/>
  <c r="G214" i="6"/>
  <c r="GW5" i="3" s="1"/>
  <c r="G213" i="6"/>
  <c r="G212" i="6"/>
  <c r="I212" i="6" s="1"/>
  <c r="G211" i="6"/>
  <c r="H211" i="6" s="1"/>
  <c r="G210" i="6"/>
  <c r="H210" i="6" s="1"/>
  <c r="G209" i="6"/>
  <c r="I209" i="6" s="1"/>
  <c r="G208" i="6"/>
  <c r="GQ5" i="3" s="1"/>
  <c r="G207" i="6"/>
  <c r="GP5" i="3" s="1"/>
  <c r="G206" i="6"/>
  <c r="GO5" i="3" s="1"/>
  <c r="G205" i="6"/>
  <c r="GN5" i="3" s="1"/>
  <c r="G204" i="6"/>
  <c r="GM5" i="3" s="1"/>
  <c r="G203" i="6"/>
  <c r="G202" i="6"/>
  <c r="GK5" i="3" s="1"/>
  <c r="G201" i="6"/>
  <c r="G200" i="6"/>
  <c r="H200" i="6" s="1"/>
  <c r="G199" i="6"/>
  <c r="I199" i="6" s="1"/>
  <c r="G198" i="6"/>
  <c r="G197" i="6"/>
  <c r="H197" i="6" s="1"/>
  <c r="G196" i="6"/>
  <c r="I196" i="6" s="1"/>
  <c r="G195" i="6"/>
  <c r="GD5" i="3" s="1"/>
  <c r="G194" i="6"/>
  <c r="GC5" i="3" s="1"/>
  <c r="G193" i="6"/>
  <c r="I193" i="6" s="1"/>
  <c r="G192" i="6"/>
  <c r="I192" i="6" s="1"/>
  <c r="G191" i="6"/>
  <c r="I191" i="6" s="1"/>
  <c r="G190" i="6"/>
  <c r="H190" i="6" s="1"/>
  <c r="G189" i="6"/>
  <c r="H189" i="6" s="1"/>
  <c r="G188" i="6"/>
  <c r="FW5" i="3" s="1"/>
  <c r="G187" i="6"/>
  <c r="I187" i="6" s="1"/>
  <c r="G186" i="6"/>
  <c r="FU5" i="3" s="1"/>
  <c r="G185" i="6"/>
  <c r="FT5" i="3" s="1"/>
  <c r="G184" i="6"/>
  <c r="FS5" i="3" s="1"/>
  <c r="G183" i="6"/>
  <c r="G182" i="6"/>
  <c r="FQ5" i="3" s="1"/>
  <c r="G181" i="6"/>
  <c r="H181" i="6" s="1"/>
  <c r="G180" i="6"/>
  <c r="H180" i="6" s="1"/>
  <c r="G179" i="6"/>
  <c r="I179" i="6" s="1"/>
  <c r="G178" i="6"/>
  <c r="G177" i="6"/>
  <c r="G176" i="6"/>
  <c r="H176" i="6" s="1"/>
  <c r="G175" i="6"/>
  <c r="I175" i="6" s="1"/>
  <c r="G174" i="6"/>
  <c r="I174" i="6" s="1"/>
  <c r="G173" i="6"/>
  <c r="I173" i="6" s="1"/>
  <c r="G172" i="6"/>
  <c r="I172" i="6" s="1"/>
  <c r="G171" i="6"/>
  <c r="I171" i="6" s="1"/>
  <c r="G170" i="6"/>
  <c r="H170" i="6" s="1"/>
  <c r="G169" i="6"/>
  <c r="G168" i="6"/>
  <c r="FC5" i="3" s="1"/>
  <c r="G167" i="6"/>
  <c r="FB5" i="3" s="1"/>
  <c r="G166" i="6"/>
  <c r="FA5" i="3" s="1"/>
  <c r="G165" i="6"/>
  <c r="EZ5" i="3" s="1"/>
  <c r="G164" i="6"/>
  <c r="EY5" i="3" s="1"/>
  <c r="G163" i="6"/>
  <c r="G162" i="6"/>
  <c r="EW5" i="3" s="1"/>
  <c r="G161" i="6"/>
  <c r="EV5" i="3" s="1"/>
  <c r="G160" i="6"/>
  <c r="H160" i="6" s="1"/>
  <c r="G159" i="6"/>
  <c r="I159" i="6" s="1"/>
  <c r="G158" i="6"/>
  <c r="G157" i="6"/>
  <c r="ER5" i="3" s="1"/>
  <c r="G156" i="6"/>
  <c r="I156" i="6" s="1"/>
  <c r="G155" i="6"/>
  <c r="I155" i="6" s="1"/>
  <c r="G154" i="6"/>
  <c r="H154" i="6" s="1"/>
  <c r="G153" i="6"/>
  <c r="I153" i="6" s="1"/>
  <c r="G152" i="6"/>
  <c r="I152" i="6" s="1"/>
  <c r="G151" i="6"/>
  <c r="G150" i="6"/>
  <c r="I150" i="6" s="1"/>
  <c r="G149" i="6"/>
  <c r="EJ5" i="3" s="1"/>
  <c r="G148" i="6"/>
  <c r="EI5" i="3" s="1"/>
  <c r="G147" i="6"/>
  <c r="I147" i="6" s="1"/>
  <c r="G146" i="6"/>
  <c r="EG5" i="3" s="1"/>
  <c r="G145" i="6"/>
  <c r="EF5" i="3" s="1"/>
  <c r="G144" i="6"/>
  <c r="EE5" i="3" s="1"/>
  <c r="G143" i="6"/>
  <c r="H143" i="6" s="1"/>
  <c r="G142" i="6"/>
  <c r="EC5" i="3" s="1"/>
  <c r="G141" i="6"/>
  <c r="EB5" i="3" s="1"/>
  <c r="G140" i="6"/>
  <c r="H140" i="6" s="1"/>
  <c r="G139" i="6"/>
  <c r="I139" i="6" s="1"/>
  <c r="G138" i="6"/>
  <c r="G137" i="6"/>
  <c r="G136" i="6"/>
  <c r="H136" i="6" s="1"/>
  <c r="G135" i="6"/>
  <c r="I135" i="6" s="1"/>
  <c r="G134" i="6"/>
  <c r="G133" i="6"/>
  <c r="I133" i="6" s="1"/>
  <c r="G132" i="6"/>
  <c r="I132" i="6" s="1"/>
  <c r="G131" i="6"/>
  <c r="I131" i="6" s="1"/>
  <c r="G130" i="6"/>
  <c r="H130" i="6" s="1"/>
  <c r="G129" i="6"/>
  <c r="I129" i="6" s="1"/>
  <c r="G128" i="6"/>
  <c r="DO5" i="3" s="1"/>
  <c r="G127" i="6"/>
  <c r="I127" i="6" s="1"/>
  <c r="G126" i="6"/>
  <c r="DM5" i="3" s="1"/>
  <c r="G125" i="6"/>
  <c r="DL5" i="3" s="1"/>
  <c r="G124" i="6"/>
  <c r="DK5" i="3" s="1"/>
  <c r="G123" i="6"/>
  <c r="G122" i="6"/>
  <c r="DI5" i="3" s="1"/>
  <c r="G121" i="6"/>
  <c r="I121" i="6" s="1"/>
  <c r="G120" i="6"/>
  <c r="H120" i="6" s="1"/>
  <c r="G119" i="6"/>
  <c r="I119" i="6" s="1"/>
  <c r="G118" i="6"/>
  <c r="G117" i="6"/>
  <c r="DD5" i="3" s="1"/>
  <c r="G116" i="6"/>
  <c r="DC5" i="3" s="1"/>
  <c r="G115" i="6"/>
  <c r="DB5" i="3" s="1"/>
  <c r="G114" i="6"/>
  <c r="H114" i="6" s="1"/>
  <c r="G113" i="6"/>
  <c r="H113" i="6" s="1"/>
  <c r="G112" i="6"/>
  <c r="I112" i="6" s="1"/>
  <c r="G111" i="6"/>
  <c r="I111" i="6" s="1"/>
  <c r="G110" i="6"/>
  <c r="H110" i="6" s="1"/>
  <c r="G109" i="6"/>
  <c r="CV5" i="3" s="1"/>
  <c r="G108" i="6"/>
  <c r="CU5" i="3" s="1"/>
  <c r="G107" i="6"/>
  <c r="CT5" i="3" s="1"/>
  <c r="G106" i="6"/>
  <c r="CS5" i="3" s="1"/>
  <c r="G105" i="6"/>
  <c r="CR5" i="3" s="1"/>
  <c r="G104" i="6"/>
  <c r="CQ5" i="3" s="1"/>
  <c r="G103" i="6"/>
  <c r="G102" i="6"/>
  <c r="CO5" i="3" s="1"/>
  <c r="G101" i="6"/>
  <c r="I101" i="6" s="1"/>
  <c r="G100" i="6"/>
  <c r="I100" i="6" s="1"/>
  <c r="G99" i="6"/>
  <c r="I99" i="6" s="1"/>
  <c r="G98" i="6"/>
  <c r="G97" i="6"/>
  <c r="I97" i="6" s="1"/>
  <c r="G96" i="6"/>
  <c r="I96" i="6" s="1"/>
  <c r="G95" i="6"/>
  <c r="H95" i="6" s="1"/>
  <c r="G94" i="6"/>
  <c r="H94" i="6" s="1"/>
  <c r="G93" i="6"/>
  <c r="I93" i="6" s="1"/>
  <c r="G92" i="6"/>
  <c r="I92" i="6" s="1"/>
  <c r="G91" i="6"/>
  <c r="G90" i="6"/>
  <c r="G89" i="6"/>
  <c r="CB5" i="3" s="1"/>
  <c r="G88" i="6"/>
  <c r="CA5" i="3" s="1"/>
  <c r="G87" i="6"/>
  <c r="H87" i="6" s="1"/>
  <c r="G86" i="6"/>
  <c r="BY5" i="3" s="1"/>
  <c r="G85" i="6"/>
  <c r="BX5" i="3" s="1"/>
  <c r="G84" i="6"/>
  <c r="BW5" i="3" s="1"/>
  <c r="G83" i="6"/>
  <c r="G82" i="6"/>
  <c r="BU5" i="3" s="1"/>
  <c r="G81" i="6"/>
  <c r="BT5" i="3" s="1"/>
  <c r="G80" i="6"/>
  <c r="H80" i="6" s="1"/>
  <c r="G79" i="6"/>
  <c r="I79" i="6" s="1"/>
  <c r="G78" i="6"/>
  <c r="G77" i="6"/>
  <c r="I77" i="6" s="1"/>
  <c r="G76" i="6"/>
  <c r="I76" i="6" s="1"/>
  <c r="G75" i="6"/>
  <c r="BN5" i="3" s="1"/>
  <c r="G74" i="6"/>
  <c r="BM5" i="3" s="1"/>
  <c r="G73" i="6"/>
  <c r="I73" i="6" s="1"/>
  <c r="G72" i="6"/>
  <c r="I72" i="6" s="1"/>
  <c r="G71" i="6"/>
  <c r="I71" i="6" s="1"/>
  <c r="G70" i="6"/>
  <c r="H70" i="6" s="1"/>
  <c r="G69" i="6"/>
  <c r="I69" i="6" s="1"/>
  <c r="G68" i="6"/>
  <c r="BG5" i="3" s="1"/>
  <c r="G67" i="6"/>
  <c r="BF5" i="3" s="1"/>
  <c r="G66" i="6"/>
  <c r="BE5" i="3" s="1"/>
  <c r="G65" i="6"/>
  <c r="BD5" i="3" s="1"/>
  <c r="G64" i="6"/>
  <c r="BC5" i="3" s="1"/>
  <c r="G63" i="6"/>
  <c r="G62" i="6"/>
  <c r="BA5" i="3" s="1"/>
  <c r="G61" i="6"/>
  <c r="I61" i="6" s="1"/>
  <c r="G60" i="6"/>
  <c r="H60" i="6" s="1"/>
  <c r="G59" i="6"/>
  <c r="I59" i="6" s="1"/>
  <c r="G58" i="6"/>
  <c r="G57" i="6"/>
  <c r="I57" i="6" s="1"/>
  <c r="G56" i="6"/>
  <c r="AU5" i="3" s="1"/>
  <c r="G55" i="6"/>
  <c r="AT5" i="3" s="1"/>
  <c r="G54" i="6"/>
  <c r="I54" i="6" s="1"/>
  <c r="G53" i="6"/>
  <c r="H53" i="6" s="1"/>
  <c r="G52" i="6"/>
  <c r="I52" i="6" s="1"/>
  <c r="G51" i="6"/>
  <c r="H51" i="6" s="1"/>
  <c r="G50" i="6"/>
  <c r="H50" i="6" s="1"/>
  <c r="G49" i="6"/>
  <c r="H49" i="6" s="1"/>
  <c r="G48" i="6"/>
  <c r="AM5" i="3" s="1"/>
  <c r="G47" i="6"/>
  <c r="I47" i="6" s="1"/>
  <c r="G46" i="6"/>
  <c r="AK5" i="3" s="1"/>
  <c r="G45" i="6"/>
  <c r="AJ5" i="3" s="1"/>
  <c r="G44" i="6"/>
  <c r="AI5" i="3" s="1"/>
  <c r="G43" i="6"/>
  <c r="G42" i="6"/>
  <c r="AG5" i="3" s="1"/>
  <c r="G41" i="6"/>
  <c r="H41" i="6" s="1"/>
  <c r="G40" i="6"/>
  <c r="H40" i="6" s="1"/>
  <c r="G39" i="6"/>
  <c r="I39" i="6" s="1"/>
  <c r="G38" i="6"/>
  <c r="G37" i="6"/>
  <c r="H37" i="6" s="1"/>
  <c r="G36" i="6"/>
  <c r="I36" i="6" s="1"/>
  <c r="G35" i="6"/>
  <c r="I35" i="6" s="1"/>
  <c r="G34" i="6"/>
  <c r="I34" i="6" s="1"/>
  <c r="G33" i="6"/>
  <c r="X5" i="3" s="1"/>
  <c r="G32" i="6"/>
  <c r="I32" i="6" s="1"/>
  <c r="G31" i="6"/>
  <c r="I31" i="6" s="1"/>
  <c r="G30" i="6"/>
  <c r="I30" i="6" s="1"/>
  <c r="G29" i="6"/>
  <c r="H29" i="6" s="1"/>
  <c r="G28" i="6"/>
  <c r="S5" i="3" s="1"/>
  <c r="G27" i="6"/>
  <c r="I27" i="6" s="1"/>
  <c r="G26" i="6"/>
  <c r="G25" i="6"/>
  <c r="P5" i="3" s="1"/>
  <c r="G24" i="6"/>
  <c r="G23" i="6"/>
  <c r="G22" i="6"/>
  <c r="M5" i="3" s="1"/>
  <c r="G21" i="6"/>
  <c r="H21" i="6" s="1"/>
  <c r="G20" i="6"/>
  <c r="H20" i="6" s="1"/>
  <c r="G19" i="6"/>
  <c r="I19" i="6" s="1"/>
  <c r="G18" i="6"/>
  <c r="G17" i="6"/>
  <c r="H5" i="3" s="1"/>
  <c r="G16" i="6"/>
  <c r="G5" i="3" s="1"/>
  <c r="G15" i="6"/>
  <c r="G14" i="6"/>
  <c r="E5" i="3" s="1"/>
  <c r="I12" i="6"/>
  <c r="G12" i="6"/>
  <c r="H12" i="6" s="1"/>
  <c r="G11" i="6"/>
  <c r="B3" i="6"/>
  <c r="G138" i="5"/>
  <c r="DZ5" i="2" s="1"/>
  <c r="G137" i="5"/>
  <c r="G136" i="5"/>
  <c r="I136" i="5" s="1"/>
  <c r="G135" i="5"/>
  <c r="I135" i="5" s="1"/>
  <c r="G134" i="5"/>
  <c r="I134" i="5" s="1"/>
  <c r="G133" i="5"/>
  <c r="H133" i="5" s="1"/>
  <c r="G132" i="5"/>
  <c r="DT5" i="2" s="1"/>
  <c r="G131" i="5"/>
  <c r="DS5" i="2" s="1"/>
  <c r="G130" i="5"/>
  <c r="I130" i="5" s="1"/>
  <c r="G129" i="5"/>
  <c r="H129" i="5" s="1"/>
  <c r="G128" i="5"/>
  <c r="I128" i="5" s="1"/>
  <c r="G127" i="5"/>
  <c r="DO5" i="2" s="1"/>
  <c r="G126" i="5"/>
  <c r="H126" i="5" s="1"/>
  <c r="G125" i="5"/>
  <c r="I125" i="5" s="1"/>
  <c r="G124" i="5"/>
  <c r="H124" i="5" s="1"/>
  <c r="G123" i="5"/>
  <c r="H123" i="5" s="1"/>
  <c r="G122" i="5"/>
  <c r="DJ5" i="2" s="1"/>
  <c r="G121" i="5"/>
  <c r="G120" i="5"/>
  <c r="DH5" i="2" s="1"/>
  <c r="G119" i="5"/>
  <c r="DG5" i="2" s="1"/>
  <c r="G118" i="5"/>
  <c r="DF5" i="2" s="1"/>
  <c r="G117" i="5"/>
  <c r="DE5" i="2" s="1"/>
  <c r="G116" i="5"/>
  <c r="H116" i="5" s="1"/>
  <c r="G115" i="5"/>
  <c r="I115" i="5" s="1"/>
  <c r="G114" i="5"/>
  <c r="I114" i="5" s="1"/>
  <c r="G113" i="5"/>
  <c r="H113" i="5" s="1"/>
  <c r="G112" i="5"/>
  <c r="G111" i="5"/>
  <c r="CY5" i="2" s="1"/>
  <c r="G110" i="5"/>
  <c r="CX5" i="2" s="1"/>
  <c r="G109" i="5"/>
  <c r="H109" i="5" s="1"/>
  <c r="G108" i="5"/>
  <c r="I108" i="5" s="1"/>
  <c r="G107" i="5"/>
  <c r="I107" i="5" s="1"/>
  <c r="G106" i="5"/>
  <c r="I106" i="5" s="1"/>
  <c r="G105" i="5"/>
  <c r="I105" i="5" s="1"/>
  <c r="G104" i="5"/>
  <c r="G103" i="5"/>
  <c r="H103" i="5" s="1"/>
  <c r="G102" i="5"/>
  <c r="CP5" i="2" s="1"/>
  <c r="G101" i="5"/>
  <c r="G100" i="5"/>
  <c r="CN5" i="2" s="1"/>
  <c r="G99" i="5"/>
  <c r="CM5" i="2" s="1"/>
  <c r="G98" i="5"/>
  <c r="CL5" i="2" s="1"/>
  <c r="G97" i="5"/>
  <c r="CK5" i="2" s="1"/>
  <c r="G96" i="5"/>
  <c r="I96" i="5" s="1"/>
  <c r="G95" i="5"/>
  <c r="I95" i="5" s="1"/>
  <c r="G94" i="5"/>
  <c r="G93" i="5"/>
  <c r="G92" i="5"/>
  <c r="CF5" i="2" s="1"/>
  <c r="G91" i="5"/>
  <c r="CE5" i="2" s="1"/>
  <c r="G90" i="5"/>
  <c r="H90" i="5" s="1"/>
  <c r="G89" i="5"/>
  <c r="I89" i="5" s="1"/>
  <c r="G88" i="5"/>
  <c r="I88" i="5" s="1"/>
  <c r="G87" i="5"/>
  <c r="G86" i="5"/>
  <c r="H86" i="5" s="1"/>
  <c r="G85" i="5"/>
  <c r="BY5" i="2" s="1"/>
  <c r="G84" i="5"/>
  <c r="I84" i="5" s="1"/>
  <c r="G83" i="5"/>
  <c r="H83" i="5" s="1"/>
  <c r="G82" i="5"/>
  <c r="BV5" i="2" s="1"/>
  <c r="G81" i="5"/>
  <c r="G80" i="5"/>
  <c r="BT5" i="2" s="1"/>
  <c r="G79" i="5"/>
  <c r="G78" i="5"/>
  <c r="BR5" i="2" s="1"/>
  <c r="G77" i="5"/>
  <c r="BQ5" i="2" s="1"/>
  <c r="G76" i="5"/>
  <c r="I76" i="5" s="1"/>
  <c r="G75" i="5"/>
  <c r="I75" i="5" s="1"/>
  <c r="G74" i="5"/>
  <c r="I74" i="5" s="1"/>
  <c r="G73" i="5"/>
  <c r="H73" i="5" s="1"/>
  <c r="G72" i="5"/>
  <c r="BL5" i="2" s="1"/>
  <c r="G71" i="5"/>
  <c r="G70" i="5"/>
  <c r="BJ5" i="2" s="1"/>
  <c r="G69" i="5"/>
  <c r="I69" i="5" s="1"/>
  <c r="G68" i="5"/>
  <c r="I68" i="5" s="1"/>
  <c r="G67" i="5"/>
  <c r="BG5" i="2" s="1"/>
  <c r="G66" i="5"/>
  <c r="I66" i="5" s="1"/>
  <c r="G65" i="5"/>
  <c r="BE5" i="2" s="1"/>
  <c r="G64" i="5"/>
  <c r="BD5" i="2" s="1"/>
  <c r="G63" i="5"/>
  <c r="H63" i="5" s="1"/>
  <c r="G62" i="5"/>
  <c r="BB5" i="2" s="1"/>
  <c r="G61" i="5"/>
  <c r="G60" i="5"/>
  <c r="AZ5" i="2" s="1"/>
  <c r="G59" i="5"/>
  <c r="AY5" i="2" s="1"/>
  <c r="G58" i="5"/>
  <c r="AX5" i="2" s="1"/>
  <c r="G57" i="5"/>
  <c r="AW5" i="2" s="1"/>
  <c r="G56" i="5"/>
  <c r="I56" i="5" s="1"/>
  <c r="G55" i="5"/>
  <c r="G54" i="5"/>
  <c r="G53" i="5"/>
  <c r="I53" i="5" s="1"/>
  <c r="G52" i="5"/>
  <c r="AR5" i="2" s="1"/>
  <c r="G51" i="5"/>
  <c r="AQ5" i="2" s="1"/>
  <c r="G50" i="5"/>
  <c r="H50" i="5" s="1"/>
  <c r="G49" i="5"/>
  <c r="I49" i="5" s="1"/>
  <c r="G48" i="5"/>
  <c r="I48" i="5" s="1"/>
  <c r="G47" i="5"/>
  <c r="AM5" i="2" s="1"/>
  <c r="G46" i="5"/>
  <c r="H46" i="5" s="1"/>
  <c r="G45" i="5"/>
  <c r="H45" i="5" s="1"/>
  <c r="G44" i="5"/>
  <c r="AJ5" i="2" s="1"/>
  <c r="G43" i="5"/>
  <c r="G42" i="5"/>
  <c r="AH5" i="2" s="1"/>
  <c r="G41" i="5"/>
  <c r="G40" i="5"/>
  <c r="AF5" i="2" s="1"/>
  <c r="G39" i="5"/>
  <c r="AE5" i="2" s="1"/>
  <c r="G38" i="5"/>
  <c r="H38" i="5" s="1"/>
  <c r="G37" i="5"/>
  <c r="AC5" i="2" s="1"/>
  <c r="G36" i="5"/>
  <c r="I36" i="5" s="1"/>
  <c r="G35" i="5"/>
  <c r="I35" i="5" s="1"/>
  <c r="G34" i="5"/>
  <c r="I34" i="5" s="1"/>
  <c r="G33" i="5"/>
  <c r="H33" i="5" s="1"/>
  <c r="G32" i="5"/>
  <c r="X5" i="2" s="1"/>
  <c r="G31" i="5"/>
  <c r="W5" i="2" s="1"/>
  <c r="G30" i="5"/>
  <c r="H30" i="5" s="1"/>
  <c r="G29" i="5"/>
  <c r="I29" i="5" s="1"/>
  <c r="G28" i="5"/>
  <c r="I28" i="5" s="1"/>
  <c r="G27" i="5"/>
  <c r="S5" i="2" s="1"/>
  <c r="G26" i="5"/>
  <c r="I26" i="5" s="1"/>
  <c r="G25" i="5"/>
  <c r="H25" i="5" s="1"/>
  <c r="G24" i="5"/>
  <c r="O5" i="2" s="1"/>
  <c r="G23" i="5"/>
  <c r="H23" i="5" s="1"/>
  <c r="G22" i="5"/>
  <c r="M5" i="2" s="1"/>
  <c r="G21" i="5"/>
  <c r="G20" i="5"/>
  <c r="G19" i="5"/>
  <c r="J5" i="2" s="1"/>
  <c r="G18" i="5"/>
  <c r="I5" i="2" s="1"/>
  <c r="G17" i="5"/>
  <c r="H5" i="2" s="1"/>
  <c r="G16" i="5"/>
  <c r="I16" i="5" s="1"/>
  <c r="G15" i="5"/>
  <c r="I15" i="5" s="1"/>
  <c r="G14" i="5"/>
  <c r="I14" i="5" s="1"/>
  <c r="G13" i="5"/>
  <c r="H13" i="5" s="1"/>
  <c r="I12" i="5"/>
  <c r="G12" i="5"/>
  <c r="C5" i="2" s="1"/>
  <c r="G11" i="5"/>
  <c r="B5" i="2" s="1"/>
  <c r="B3" i="5"/>
  <c r="G61" i="4"/>
  <c r="AZ5" i="1" s="1"/>
  <c r="G60" i="4"/>
  <c r="I60" i="4" s="1"/>
  <c r="G59" i="4"/>
  <c r="G58" i="4"/>
  <c r="G57" i="4"/>
  <c r="G56" i="4"/>
  <c r="AU5" i="1" s="1"/>
  <c r="G55" i="4"/>
  <c r="H55" i="4" s="1"/>
  <c r="G54" i="4"/>
  <c r="AS5" i="1" s="1"/>
  <c r="G53" i="4"/>
  <c r="G52" i="4"/>
  <c r="AQ5" i="1" s="1"/>
  <c r="G51" i="4"/>
  <c r="AP5" i="1" s="1"/>
  <c r="G50" i="4"/>
  <c r="AO5" i="1" s="1"/>
  <c r="G49" i="4"/>
  <c r="AN5" i="1" s="1"/>
  <c r="G48" i="4"/>
  <c r="I48" i="4" s="1"/>
  <c r="G47" i="4"/>
  <c r="I47" i="4" s="1"/>
  <c r="G46" i="4"/>
  <c r="G45" i="4"/>
  <c r="I45" i="4" s="1"/>
  <c r="G44" i="4"/>
  <c r="I44" i="4" s="1"/>
  <c r="G43" i="4"/>
  <c r="I43" i="4" s="1"/>
  <c r="G42" i="4"/>
  <c r="I42" i="4" s="1"/>
  <c r="G41" i="4"/>
  <c r="H41" i="4" s="1"/>
  <c r="G40" i="4"/>
  <c r="I40" i="4" s="1"/>
  <c r="G39" i="4"/>
  <c r="AD5" i="1" s="1"/>
  <c r="G38" i="4"/>
  <c r="G37" i="4"/>
  <c r="AB5" i="1" s="1"/>
  <c r="G36" i="4"/>
  <c r="AA5" i="1" s="1"/>
  <c r="G35" i="4"/>
  <c r="H35" i="4" s="1"/>
  <c r="G34" i="4"/>
  <c r="Y5" i="1" s="1"/>
  <c r="G33" i="4"/>
  <c r="G32" i="4"/>
  <c r="W5" i="1" s="1"/>
  <c r="G31" i="4"/>
  <c r="G30" i="4"/>
  <c r="U5" i="1" s="1"/>
  <c r="G29" i="4"/>
  <c r="T5" i="1" s="1"/>
  <c r="G28" i="4"/>
  <c r="I28" i="4" s="1"/>
  <c r="G27" i="4"/>
  <c r="I27" i="4" s="1"/>
  <c r="G26" i="4"/>
  <c r="H26" i="4" s="1"/>
  <c r="G25" i="4"/>
  <c r="G24" i="4"/>
  <c r="I24" i="4" s="1"/>
  <c r="G23" i="4"/>
  <c r="I23" i="4" s="1"/>
  <c r="G22" i="4"/>
  <c r="I22" i="4" s="1"/>
  <c r="G21" i="4"/>
  <c r="H21" i="4" s="1"/>
  <c r="G20" i="4"/>
  <c r="I20" i="4" s="1"/>
  <c r="G19" i="4"/>
  <c r="J5" i="1" s="1"/>
  <c r="G18" i="4"/>
  <c r="I18" i="4" s="1"/>
  <c r="G17" i="4"/>
  <c r="I17" i="4" s="1"/>
  <c r="G16" i="4"/>
  <c r="G5" i="1" s="1"/>
  <c r="G15" i="4"/>
  <c r="H15" i="4" s="1"/>
  <c r="G14" i="4"/>
  <c r="E5" i="1" s="1"/>
  <c r="G13" i="4"/>
  <c r="G12" i="4"/>
  <c r="C5" i="1" s="1"/>
  <c r="G11" i="4"/>
  <c r="B5" i="1" s="1"/>
  <c r="B3" i="4"/>
  <c r="H13" i="6" l="1"/>
  <c r="I13" i="6" s="1"/>
  <c r="CI5" i="2"/>
  <c r="CJ5" i="2"/>
  <c r="AA5" i="2"/>
  <c r="AB5" i="2"/>
  <c r="K5" i="3"/>
  <c r="AL5" i="3"/>
  <c r="BH5" i="3"/>
  <c r="AY5" i="3"/>
  <c r="AZ5" i="3"/>
  <c r="AE5" i="3"/>
  <c r="C11" i="7"/>
  <c r="H62" i="5"/>
  <c r="BP5" i="3"/>
  <c r="AG5" i="1"/>
  <c r="BR5" i="3"/>
  <c r="AI5" i="1"/>
  <c r="BS5" i="3"/>
  <c r="AL5" i="1"/>
  <c r="FV5" i="3"/>
  <c r="AM5" i="1"/>
  <c r="AK5" i="2"/>
  <c r="CC5" i="2"/>
  <c r="CE5" i="3"/>
  <c r="I237" i="6"/>
  <c r="CI5" i="3"/>
  <c r="DA5" i="2"/>
  <c r="DR5" i="3"/>
  <c r="H36" i="5"/>
  <c r="I82" i="6"/>
  <c r="DB5" i="2"/>
  <c r="DS5" i="3"/>
  <c r="I12" i="4"/>
  <c r="DC5" i="2"/>
  <c r="DT5" i="3"/>
  <c r="I19" i="5"/>
  <c r="DV5" i="2"/>
  <c r="FE5" i="3"/>
  <c r="DW5" i="2"/>
  <c r="FG5" i="3"/>
  <c r="FH5" i="3"/>
  <c r="I226" i="6"/>
  <c r="HB5" i="3"/>
  <c r="H122" i="5"/>
  <c r="H173" i="6"/>
  <c r="O5" i="1"/>
  <c r="I197" i="6"/>
  <c r="I41" i="4"/>
  <c r="I42" i="5"/>
  <c r="I33" i="6"/>
  <c r="I87" i="6"/>
  <c r="EE4" i="2"/>
  <c r="C9" i="7" s="1"/>
  <c r="DR5" i="2"/>
  <c r="FJ5" i="3"/>
  <c r="H27" i="5"/>
  <c r="I62" i="5"/>
  <c r="I98" i="5"/>
  <c r="H107" i="6"/>
  <c r="F5" i="2"/>
  <c r="GF5" i="3"/>
  <c r="I27" i="5"/>
  <c r="I107" i="6"/>
  <c r="I200" i="6"/>
  <c r="Z5" i="2"/>
  <c r="DX5" i="2"/>
  <c r="CF5" i="3"/>
  <c r="GH5" i="3"/>
  <c r="BZ5" i="3"/>
  <c r="CG5" i="3"/>
  <c r="GI5" i="3"/>
  <c r="I83" i="5"/>
  <c r="I20" i="6"/>
  <c r="H237" i="6"/>
  <c r="CH5" i="3"/>
  <c r="GR5" i="3"/>
  <c r="GS5" i="3"/>
  <c r="H102" i="5"/>
  <c r="AN5" i="2"/>
  <c r="B5" i="3"/>
  <c r="GU5" i="3"/>
  <c r="I102" i="5"/>
  <c r="H136" i="5"/>
  <c r="AO5" i="2"/>
  <c r="CY5" i="3"/>
  <c r="CW5" i="2"/>
  <c r="I32" i="4"/>
  <c r="H61" i="6"/>
  <c r="BC5" i="2"/>
  <c r="Z5" i="3"/>
  <c r="DN5" i="3"/>
  <c r="HS5" i="3"/>
  <c r="I46" i="6"/>
  <c r="I136" i="6"/>
  <c r="I19" i="4"/>
  <c r="I109" i="5"/>
  <c r="H110" i="5"/>
  <c r="I78" i="5"/>
  <c r="I110" i="5"/>
  <c r="H33" i="6"/>
  <c r="FI5" i="3"/>
  <c r="H32" i="4"/>
  <c r="DH5" i="3"/>
  <c r="H207" i="6"/>
  <c r="BX5" i="2"/>
  <c r="AA5" i="3"/>
  <c r="DP5" i="3"/>
  <c r="I123" i="5"/>
  <c r="I117" i="6"/>
  <c r="I157" i="6"/>
  <c r="AP5" i="2"/>
  <c r="HM5" i="3"/>
  <c r="H19" i="5"/>
  <c r="I207" i="6"/>
  <c r="H226" i="6"/>
  <c r="CB5" i="2"/>
  <c r="AD5" i="3"/>
  <c r="DQ5" i="3"/>
  <c r="DX5" i="3"/>
  <c r="I137" i="6"/>
  <c r="H137" i="6"/>
  <c r="I213" i="6"/>
  <c r="H213" i="6"/>
  <c r="GV5" i="3"/>
  <c r="DQ5" i="2"/>
  <c r="I201" i="6"/>
  <c r="GJ5" i="3"/>
  <c r="I90" i="5"/>
  <c r="CD5" i="2"/>
  <c r="I55" i="5"/>
  <c r="AU5" i="2"/>
  <c r="I129" i="5"/>
  <c r="I37" i="6"/>
  <c r="AB5" i="3"/>
  <c r="H43" i="5"/>
  <c r="I43" i="5"/>
  <c r="AI5" i="2"/>
  <c r="I51" i="6"/>
  <c r="AP5" i="3"/>
  <c r="I177" i="6"/>
  <c r="H177" i="6"/>
  <c r="FL5" i="3"/>
  <c r="I58" i="4"/>
  <c r="AW5" i="1"/>
  <c r="H59" i="4"/>
  <c r="AX5" i="1"/>
  <c r="I59" i="4"/>
  <c r="H100" i="6"/>
  <c r="CM5" i="3"/>
  <c r="V5" i="2"/>
  <c r="I30" i="5"/>
  <c r="I116" i="5"/>
  <c r="DD5" i="2"/>
  <c r="K5" i="2"/>
  <c r="I20" i="5"/>
  <c r="H20" i="5"/>
  <c r="Q5" i="3"/>
  <c r="I26" i="6"/>
  <c r="I113" i="6"/>
  <c r="CZ5" i="3"/>
  <c r="H126" i="6"/>
  <c r="I189" i="6"/>
  <c r="H130" i="5"/>
  <c r="H76" i="6"/>
  <c r="I202" i="6"/>
  <c r="I21" i="4"/>
  <c r="H27" i="6"/>
  <c r="I114" i="6"/>
  <c r="I227" i="6"/>
  <c r="I240" i="6"/>
  <c r="I44" i="5"/>
  <c r="I53" i="6"/>
  <c r="H216" i="6"/>
  <c r="H22" i="4"/>
  <c r="I22" i="5"/>
  <c r="I140" i="6"/>
  <c r="I167" i="6"/>
  <c r="H120" i="5"/>
  <c r="H217" i="6"/>
  <c r="AQ5" i="3"/>
  <c r="H37" i="4"/>
  <c r="I23" i="5"/>
  <c r="I70" i="5"/>
  <c r="H82" i="5"/>
  <c r="I120" i="5"/>
  <c r="I29" i="6"/>
  <c r="H55" i="6"/>
  <c r="I116" i="6"/>
  <c r="H128" i="6"/>
  <c r="I181" i="6"/>
  <c r="H193" i="6"/>
  <c r="H206" i="6"/>
  <c r="I217" i="6"/>
  <c r="CT5" i="2"/>
  <c r="AR5" i="3"/>
  <c r="DZ5" i="3"/>
  <c r="FP5" i="3"/>
  <c r="I37" i="4"/>
  <c r="H50" i="4"/>
  <c r="H60" i="5"/>
  <c r="I82" i="5"/>
  <c r="H17" i="6"/>
  <c r="I55" i="6"/>
  <c r="H67" i="6"/>
  <c r="H93" i="6"/>
  <c r="I106" i="6"/>
  <c r="I128" i="6"/>
  <c r="I206" i="6"/>
  <c r="I230" i="6"/>
  <c r="CU5" i="2"/>
  <c r="AV5" i="3"/>
  <c r="CJ5" i="3"/>
  <c r="EA5" i="3"/>
  <c r="HC5" i="3"/>
  <c r="H12" i="4"/>
  <c r="H24" i="4"/>
  <c r="I24" i="5"/>
  <c r="I60" i="5"/>
  <c r="H96" i="5"/>
  <c r="H134" i="5"/>
  <c r="I17" i="6"/>
  <c r="I67" i="6"/>
  <c r="I80" i="6"/>
  <c r="H117" i="6"/>
  <c r="H157" i="6"/>
  <c r="I170" i="6"/>
  <c r="I194" i="6"/>
  <c r="K5" i="1"/>
  <c r="E5" i="2"/>
  <c r="AV5" i="2"/>
  <c r="CV5" i="2"/>
  <c r="C5" i="3"/>
  <c r="AX5" i="3"/>
  <c r="CL5" i="3"/>
  <c r="EH5" i="3"/>
  <c r="FX5" i="3"/>
  <c r="HJ5" i="3"/>
  <c r="H102" i="6"/>
  <c r="I80" i="5"/>
  <c r="H52" i="4"/>
  <c r="H49" i="5"/>
  <c r="I73" i="5"/>
  <c r="H57" i="6"/>
  <c r="H68" i="6"/>
  <c r="I94" i="6"/>
  <c r="I184" i="6"/>
  <c r="I220" i="6"/>
  <c r="M5" i="1"/>
  <c r="G5" i="2"/>
  <c r="BH5" i="2"/>
  <c r="EN5" i="3"/>
  <c r="FZ5" i="3"/>
  <c r="HO5" i="3"/>
  <c r="H69" i="5"/>
  <c r="H48" i="4"/>
  <c r="I45" i="5"/>
  <c r="I52" i="4"/>
  <c r="I146" i="6"/>
  <c r="H233" i="6"/>
  <c r="N5" i="1"/>
  <c r="N5" i="2"/>
  <c r="BI5" i="2"/>
  <c r="J5" i="3"/>
  <c r="CW5" i="3"/>
  <c r="EO5" i="3"/>
  <c r="GA5" i="3"/>
  <c r="HP5" i="3"/>
  <c r="H153" i="6"/>
  <c r="H44" i="5"/>
  <c r="H28" i="4"/>
  <c r="H47" i="6"/>
  <c r="I120" i="6"/>
  <c r="H133" i="6"/>
  <c r="H147" i="6"/>
  <c r="I160" i="6"/>
  <c r="I222" i="6"/>
  <c r="I234" i="6"/>
  <c r="R5" i="1"/>
  <c r="R5" i="2"/>
  <c r="BM5" i="2"/>
  <c r="L5" i="3"/>
  <c r="BI5" i="3"/>
  <c r="EQ5" i="3"/>
  <c r="I63" i="5"/>
  <c r="I186" i="6"/>
  <c r="I210" i="6"/>
  <c r="S5" i="1"/>
  <c r="BN5" i="2"/>
  <c r="R5" i="3"/>
  <c r="BJ5" i="3"/>
  <c r="DA5" i="3"/>
  <c r="FO5" i="3"/>
  <c r="EM5" i="3"/>
  <c r="EP5" i="3"/>
  <c r="H16" i="5"/>
  <c r="H42" i="4"/>
  <c r="H40" i="5"/>
  <c r="I50" i="5"/>
  <c r="H76" i="5"/>
  <c r="H100" i="5"/>
  <c r="I21" i="6"/>
  <c r="H97" i="6"/>
  <c r="I110" i="6"/>
  <c r="H16" i="4"/>
  <c r="I55" i="4"/>
  <c r="I40" i="5"/>
  <c r="I100" i="5"/>
  <c r="H35" i="6"/>
  <c r="I60" i="6"/>
  <c r="H175" i="6"/>
  <c r="T5" i="2"/>
  <c r="BO5" i="2"/>
  <c r="DK5" i="2"/>
  <c r="W5" i="3"/>
  <c r="BK5" i="3"/>
  <c r="ET5" i="3"/>
  <c r="HV5" i="3"/>
  <c r="H56" i="5"/>
  <c r="H14" i="6"/>
  <c r="I190" i="6"/>
  <c r="H61" i="4"/>
  <c r="H32" i="5"/>
  <c r="I14" i="6"/>
  <c r="H127" i="6"/>
  <c r="H167" i="6"/>
  <c r="GX5" i="3"/>
  <c r="I61" i="4"/>
  <c r="I32" i="5"/>
  <c r="AY5" i="1"/>
  <c r="CQ5" i="2"/>
  <c r="GY5" i="3"/>
  <c r="I66" i="6"/>
  <c r="H116" i="6"/>
  <c r="L5" i="1"/>
  <c r="FY5" i="3"/>
  <c r="P5" i="2"/>
  <c r="HQ5" i="3"/>
  <c r="H186" i="6"/>
  <c r="H29" i="5"/>
  <c r="H77" i="5"/>
  <c r="H89" i="5"/>
  <c r="H73" i="6"/>
  <c r="I86" i="6"/>
  <c r="H111" i="6"/>
  <c r="I148" i="6"/>
  <c r="H162" i="6"/>
  <c r="H187" i="6"/>
  <c r="AE5" i="1"/>
  <c r="U5" i="2"/>
  <c r="BP5" i="2"/>
  <c r="DM5" i="2"/>
  <c r="BL5" i="3"/>
  <c r="DF5" i="3"/>
  <c r="EU5" i="3"/>
  <c r="HW5" i="3"/>
  <c r="H202" i="6"/>
  <c r="I103" i="5"/>
  <c r="I126" i="6"/>
  <c r="I166" i="6"/>
  <c r="H80" i="5"/>
  <c r="I89" i="6"/>
  <c r="I35" i="4"/>
  <c r="H57" i="5"/>
  <c r="I92" i="5"/>
  <c r="H77" i="6"/>
  <c r="I131" i="5"/>
  <c r="I40" i="6"/>
  <c r="H66" i="6"/>
  <c r="I154" i="6"/>
  <c r="I180" i="6"/>
  <c r="I228" i="6"/>
  <c r="FN5" i="3"/>
  <c r="H70" i="5"/>
  <c r="H106" i="5"/>
  <c r="CS5" i="2"/>
  <c r="GB5" i="3"/>
  <c r="I15" i="4"/>
  <c r="I65" i="5"/>
  <c r="I77" i="5"/>
  <c r="AF5" i="1"/>
  <c r="BW5" i="2"/>
  <c r="DP5" i="2"/>
  <c r="Y5" i="3"/>
  <c r="BO5" i="3"/>
  <c r="DG5" i="3"/>
  <c r="BA5" i="2"/>
  <c r="I61" i="5"/>
  <c r="H61" i="5"/>
  <c r="DY5" i="2"/>
  <c r="I137" i="5"/>
  <c r="H137" i="5"/>
  <c r="H74" i="6"/>
  <c r="H29" i="4"/>
  <c r="I94" i="5"/>
  <c r="CH5" i="2"/>
  <c r="H31" i="6"/>
  <c r="H108" i="6"/>
  <c r="I29" i="4"/>
  <c r="H118" i="5"/>
  <c r="H22" i="6"/>
  <c r="H119" i="5"/>
  <c r="V5" i="1"/>
  <c r="H31" i="4"/>
  <c r="I31" i="4"/>
  <c r="I54" i="5"/>
  <c r="AT5" i="2"/>
  <c r="I119" i="5"/>
  <c r="N5" i="3"/>
  <c r="I23" i="6"/>
  <c r="H56" i="6"/>
  <c r="I221" i="6"/>
  <c r="H12" i="5"/>
  <c r="H54" i="5"/>
  <c r="I87" i="5"/>
  <c r="CA5" i="2"/>
  <c r="H23" i="6"/>
  <c r="I56" i="6"/>
  <c r="H131" i="6"/>
  <c r="H142" i="6"/>
  <c r="H78" i="5"/>
  <c r="H87" i="5"/>
  <c r="O5" i="3"/>
  <c r="H24" i="6"/>
  <c r="I24" i="6"/>
  <c r="H89" i="6"/>
  <c r="I142" i="6"/>
  <c r="I211" i="6"/>
  <c r="GT5" i="3"/>
  <c r="H222" i="6"/>
  <c r="H39" i="4"/>
  <c r="I39" i="4"/>
  <c r="H52" i="5"/>
  <c r="I64" i="6"/>
  <c r="H11" i="5"/>
  <c r="I176" i="6"/>
  <c r="FK5" i="3"/>
  <c r="I86" i="5"/>
  <c r="BZ5" i="2"/>
  <c r="I141" i="6"/>
  <c r="BS5" i="2"/>
  <c r="I79" i="5"/>
  <c r="H11" i="4"/>
  <c r="I15" i="6"/>
  <c r="F5" i="3"/>
  <c r="I91" i="6"/>
  <c r="CD5" i="3"/>
  <c r="I168" i="6"/>
  <c r="I46" i="4"/>
  <c r="AK5" i="1"/>
  <c r="AV5" i="1"/>
  <c r="H57" i="4"/>
  <c r="I57" i="4"/>
  <c r="CO5" i="2"/>
  <c r="I101" i="5"/>
  <c r="H101" i="5"/>
  <c r="CZ5" i="2"/>
  <c r="H112" i="5"/>
  <c r="I112" i="5"/>
  <c r="H81" i="6"/>
  <c r="H91" i="6"/>
  <c r="H169" i="6"/>
  <c r="FD5" i="3"/>
  <c r="I169" i="6"/>
  <c r="GL5" i="3"/>
  <c r="I203" i="6"/>
  <c r="H203" i="6"/>
  <c r="I214" i="6"/>
  <c r="H214" i="6"/>
  <c r="H104" i="5"/>
  <c r="I104" i="5"/>
  <c r="I11" i="5"/>
  <c r="I98" i="6"/>
  <c r="H98" i="6"/>
  <c r="CK5" i="3"/>
  <c r="I111" i="5"/>
  <c r="I49" i="6"/>
  <c r="AN5" i="3"/>
  <c r="H124" i="6"/>
  <c r="I124" i="6"/>
  <c r="H46" i="4"/>
  <c r="I38" i="6"/>
  <c r="H38" i="6"/>
  <c r="AC5" i="3"/>
  <c r="I81" i="6"/>
  <c r="I127" i="5"/>
  <c r="I74" i="6"/>
  <c r="L5" i="2"/>
  <c r="I21" i="5"/>
  <c r="H21" i="5"/>
  <c r="H229" i="6"/>
  <c r="I151" i="6"/>
  <c r="EL5" i="3"/>
  <c r="H151" i="6"/>
  <c r="I30" i="4"/>
  <c r="H221" i="6"/>
  <c r="I37" i="5"/>
  <c r="H115" i="6"/>
  <c r="I158" i="6"/>
  <c r="H158" i="6"/>
  <c r="ES5" i="3"/>
  <c r="H204" i="6"/>
  <c r="V5" i="3"/>
  <c r="I38" i="4"/>
  <c r="AC5" i="1"/>
  <c r="H30" i="6"/>
  <c r="U5" i="3"/>
  <c r="H38" i="4"/>
  <c r="I195" i="6"/>
  <c r="I149" i="6"/>
  <c r="H150" i="6"/>
  <c r="EK5" i="3"/>
  <c r="I52" i="5"/>
  <c r="H85" i="5"/>
  <c r="I229" i="6"/>
  <c r="H141" i="6"/>
  <c r="CR5" i="2"/>
  <c r="I22" i="6"/>
  <c r="H90" i="6"/>
  <c r="CC5" i="3"/>
  <c r="I134" i="6"/>
  <c r="DU5" i="3"/>
  <c r="I56" i="4"/>
  <c r="D5" i="1"/>
  <c r="I13" i="4"/>
  <c r="H13" i="4"/>
  <c r="BK5" i="2"/>
  <c r="I71" i="5"/>
  <c r="H71" i="5"/>
  <c r="H82" i="6"/>
  <c r="I115" i="6"/>
  <c r="H194" i="6"/>
  <c r="I204" i="6"/>
  <c r="I41" i="6"/>
  <c r="AF5" i="3"/>
  <c r="BV5" i="3"/>
  <c r="I83" i="6"/>
  <c r="H83" i="6"/>
  <c r="H93" i="5"/>
  <c r="CG5" i="2"/>
  <c r="H195" i="6"/>
  <c r="I93" i="5"/>
  <c r="H127" i="5"/>
  <c r="H149" i="6"/>
  <c r="H64" i="6"/>
  <c r="H94" i="5"/>
  <c r="I108" i="6"/>
  <c r="I118" i="5"/>
  <c r="H30" i="4"/>
  <c r="H53" i="5"/>
  <c r="AS5" i="2"/>
  <c r="I85" i="5"/>
  <c r="DJ5" i="3"/>
  <c r="I123" i="6"/>
  <c r="I46" i="5"/>
  <c r="AL5" i="2"/>
  <c r="H48" i="6"/>
  <c r="H123" i="6"/>
  <c r="H56" i="4"/>
  <c r="H37" i="5"/>
  <c r="H79" i="5"/>
  <c r="H111" i="5"/>
  <c r="I48" i="6"/>
  <c r="I90" i="6"/>
  <c r="H168" i="6"/>
  <c r="I11" i="4"/>
  <c r="H15" i="6"/>
  <c r="H134" i="6"/>
  <c r="AD5" i="2"/>
  <c r="I38" i="5"/>
  <c r="I126" i="5"/>
  <c r="DN5" i="2"/>
  <c r="I238" i="6"/>
  <c r="H238" i="6"/>
  <c r="HU5" i="3"/>
  <c r="H241" i="6"/>
  <c r="D5" i="2"/>
  <c r="H23" i="4"/>
  <c r="H49" i="4"/>
  <c r="I13" i="5"/>
  <c r="H47" i="5"/>
  <c r="I58" i="6"/>
  <c r="H58" i="6"/>
  <c r="AW5" i="3"/>
  <c r="H75" i="6"/>
  <c r="H101" i="6"/>
  <c r="H109" i="6"/>
  <c r="H161" i="6"/>
  <c r="H196" i="6"/>
  <c r="I241" i="6"/>
  <c r="CN5" i="3"/>
  <c r="I49" i="4"/>
  <c r="H39" i="5"/>
  <c r="I47" i="5"/>
  <c r="H64" i="5"/>
  <c r="H97" i="5"/>
  <c r="DI5" i="2"/>
  <c r="I121" i="5"/>
  <c r="H121" i="5"/>
  <c r="H138" i="5"/>
  <c r="H16" i="6"/>
  <c r="H42" i="6"/>
  <c r="I50" i="6"/>
  <c r="I75" i="6"/>
  <c r="H84" i="6"/>
  <c r="I109" i="6"/>
  <c r="H135" i="6"/>
  <c r="I161" i="6"/>
  <c r="H188" i="6"/>
  <c r="H224" i="6"/>
  <c r="DV5" i="3"/>
  <c r="GE5" i="3"/>
  <c r="H58" i="4"/>
  <c r="H14" i="5"/>
  <c r="H31" i="5"/>
  <c r="I39" i="5"/>
  <c r="I64" i="5"/>
  <c r="H72" i="5"/>
  <c r="I97" i="5"/>
  <c r="H105" i="5"/>
  <c r="I113" i="5"/>
  <c r="I138" i="5"/>
  <c r="I16" i="6"/>
  <c r="H34" i="6"/>
  <c r="I42" i="6"/>
  <c r="I84" i="6"/>
  <c r="I118" i="6"/>
  <c r="H118" i="6"/>
  <c r="DE5" i="3"/>
  <c r="H144" i="6"/>
  <c r="I188" i="6"/>
  <c r="H215" i="6"/>
  <c r="I224" i="6"/>
  <c r="H242" i="6"/>
  <c r="DW5" i="3"/>
  <c r="HN5" i="3"/>
  <c r="H231" i="6"/>
  <c r="I31" i="5"/>
  <c r="I72" i="5"/>
  <c r="BU5" i="2"/>
  <c r="I81" i="5"/>
  <c r="H81" i="5"/>
  <c r="AH5" i="3"/>
  <c r="I43" i="6"/>
  <c r="I144" i="6"/>
  <c r="I242" i="6"/>
  <c r="FF5" i="3"/>
  <c r="I16" i="4"/>
  <c r="X5" i="1"/>
  <c r="I33" i="4"/>
  <c r="H33" i="4"/>
  <c r="I50" i="4"/>
  <c r="H24" i="5"/>
  <c r="I57" i="5"/>
  <c r="H65" i="5"/>
  <c r="H98" i="5"/>
  <c r="H114" i="5"/>
  <c r="H131" i="5"/>
  <c r="H43" i="6"/>
  <c r="I68" i="6"/>
  <c r="I102" i="6"/>
  <c r="I162" i="6"/>
  <c r="H171" i="6"/>
  <c r="I198" i="6"/>
  <c r="H198" i="6"/>
  <c r="GG5" i="3"/>
  <c r="HZ5" i="3"/>
  <c r="I243" i="6"/>
  <c r="H243" i="6"/>
  <c r="DL5" i="2"/>
  <c r="AO5" i="3"/>
  <c r="CX5" i="3"/>
  <c r="I178" i="6"/>
  <c r="H178" i="6"/>
  <c r="FM5" i="3"/>
  <c r="CP5" i="3"/>
  <c r="I103" i="6"/>
  <c r="H17" i="4"/>
  <c r="H43" i="4"/>
  <c r="AG5" i="2"/>
  <c r="I41" i="5"/>
  <c r="H41" i="5"/>
  <c r="H44" i="6"/>
  <c r="H103" i="6"/>
  <c r="I51" i="4"/>
  <c r="I44" i="6"/>
  <c r="H182" i="6"/>
  <c r="I244" i="6"/>
  <c r="I99" i="5"/>
  <c r="I132" i="5"/>
  <c r="H36" i="6"/>
  <c r="H62" i="6"/>
  <c r="I78" i="6"/>
  <c r="H78" i="6"/>
  <c r="BQ5" i="3"/>
  <c r="I95" i="6"/>
  <c r="H104" i="6"/>
  <c r="H129" i="6"/>
  <c r="I164" i="6"/>
  <c r="H36" i="4"/>
  <c r="H44" i="4"/>
  <c r="H59" i="5"/>
  <c r="H67" i="5"/>
  <c r="I28" i="6"/>
  <c r="H54" i="6"/>
  <c r="I62" i="6"/>
  <c r="I70" i="6"/>
  <c r="I104" i="6"/>
  <c r="I138" i="6"/>
  <c r="H138" i="6"/>
  <c r="DY5" i="3"/>
  <c r="H174" i="6"/>
  <c r="FR5" i="3"/>
  <c r="I183" i="6"/>
  <c r="H183" i="6"/>
  <c r="H191" i="6"/>
  <c r="H201" i="6"/>
  <c r="H209" i="6"/>
  <c r="I218" i="6"/>
  <c r="H218" i="6"/>
  <c r="HA5" i="3"/>
  <c r="H5" i="1"/>
  <c r="H25" i="4"/>
  <c r="P5" i="1"/>
  <c r="I18" i="6"/>
  <c r="H18" i="6"/>
  <c r="I5" i="3"/>
  <c r="H69" i="6"/>
  <c r="AH5" i="1"/>
  <c r="H17" i="5"/>
  <c r="H107" i="5"/>
  <c r="H132" i="5"/>
  <c r="H121" i="6"/>
  <c r="H155" i="6"/>
  <c r="I208" i="6"/>
  <c r="I25" i="5"/>
  <c r="H91" i="5"/>
  <c r="I124" i="5"/>
  <c r="H28" i="6"/>
  <c r="I235" i="6"/>
  <c r="AS5" i="3"/>
  <c r="I91" i="5"/>
  <c r="I36" i="4"/>
  <c r="H18" i="5"/>
  <c r="H26" i="5"/>
  <c r="H34" i="5"/>
  <c r="H51" i="5"/>
  <c r="I59" i="5"/>
  <c r="I67" i="5"/>
  <c r="H84" i="5"/>
  <c r="H117" i="5"/>
  <c r="H125" i="5"/>
  <c r="I133" i="5"/>
  <c r="BB5" i="3"/>
  <c r="I63" i="6"/>
  <c r="H88" i="6"/>
  <c r="H96" i="6"/>
  <c r="H122" i="6"/>
  <c r="H156" i="6"/>
  <c r="H236" i="6"/>
  <c r="I5" i="1"/>
  <c r="BF5" i="2"/>
  <c r="T5" i="3"/>
  <c r="ED5" i="3"/>
  <c r="I143" i="6"/>
  <c r="HF5" i="3"/>
  <c r="I223" i="6"/>
  <c r="H223" i="6"/>
  <c r="EX5" i="3"/>
  <c r="I163" i="6"/>
  <c r="H163" i="6"/>
  <c r="I25" i="4"/>
  <c r="H51" i="4"/>
  <c r="H58" i="5"/>
  <c r="H208" i="6"/>
  <c r="H244" i="6"/>
  <c r="HR5" i="3"/>
  <c r="I26" i="4"/>
  <c r="Q5" i="1"/>
  <c r="I58" i="5"/>
  <c r="H66" i="5"/>
  <c r="H74" i="5"/>
  <c r="H99" i="5"/>
  <c r="H164" i="6"/>
  <c r="I17" i="5"/>
  <c r="I33" i="5"/>
  <c r="H11" i="6"/>
  <c r="I11" i="6" s="1"/>
  <c r="I182" i="6"/>
  <c r="H18" i="4"/>
  <c r="H19" i="4"/>
  <c r="H45" i="4"/>
  <c r="AJ5" i="1"/>
  <c r="AR5" i="1"/>
  <c r="I53" i="4"/>
  <c r="H53" i="4"/>
  <c r="I18" i="5"/>
  <c r="I51" i="5"/>
  <c r="H92" i="5"/>
  <c r="I117" i="5"/>
  <c r="H63" i="6"/>
  <c r="H71" i="6"/>
  <c r="I88" i="6"/>
  <c r="I122" i="6"/>
  <c r="I130" i="6"/>
  <c r="H148" i="6"/>
  <c r="H184" i="6"/>
  <c r="H228" i="6"/>
  <c r="Y5" i="2"/>
  <c r="DU5" i="2"/>
  <c r="H20" i="4"/>
  <c r="H40" i="4"/>
  <c r="H60" i="4"/>
  <c r="H28" i="5"/>
  <c r="H48" i="5"/>
  <c r="H68" i="5"/>
  <c r="H88" i="5"/>
  <c r="H108" i="5"/>
  <c r="H128" i="5"/>
  <c r="H25" i="6"/>
  <c r="H45" i="6"/>
  <c r="H65" i="6"/>
  <c r="H85" i="6"/>
  <c r="H105" i="6"/>
  <c r="H125" i="6"/>
  <c r="H145" i="6"/>
  <c r="H165" i="6"/>
  <c r="H185" i="6"/>
  <c r="H205" i="6"/>
  <c r="H225" i="6"/>
  <c r="H27" i="4"/>
  <c r="H47" i="4"/>
  <c r="H15" i="5"/>
  <c r="H35" i="5"/>
  <c r="H55" i="5"/>
  <c r="H75" i="5"/>
  <c r="H95" i="5"/>
  <c r="H115" i="5"/>
  <c r="H135" i="5"/>
  <c r="I25" i="6"/>
  <c r="H32" i="6"/>
  <c r="I45" i="6"/>
  <c r="H52" i="6"/>
  <c r="I65" i="6"/>
  <c r="H72" i="6"/>
  <c r="I85" i="6"/>
  <c r="H92" i="6"/>
  <c r="I105" i="6"/>
  <c r="H112" i="6"/>
  <c r="I125" i="6"/>
  <c r="H132" i="6"/>
  <c r="I145" i="6"/>
  <c r="H152" i="6"/>
  <c r="I165" i="6"/>
  <c r="H172" i="6"/>
  <c r="I185" i="6"/>
  <c r="H192" i="6"/>
  <c r="I205" i="6"/>
  <c r="H212" i="6"/>
  <c r="I225" i="6"/>
  <c r="H232" i="6"/>
  <c r="H14" i="4"/>
  <c r="H34" i="4"/>
  <c r="H54" i="4"/>
  <c r="H22" i="5"/>
  <c r="H42" i="5"/>
  <c r="H19" i="6"/>
  <c r="H39" i="6"/>
  <c r="H59" i="6"/>
  <c r="H79" i="6"/>
  <c r="H99" i="6"/>
  <c r="H119" i="6"/>
  <c r="H139" i="6"/>
  <c r="H159" i="6"/>
  <c r="H179" i="6"/>
  <c r="H199" i="6"/>
  <c r="H219" i="6"/>
  <c r="H239" i="6"/>
  <c r="I14" i="4"/>
  <c r="I34" i="4"/>
  <c r="I54" i="4"/>
  <c r="I122" i="5"/>
  <c r="H26" i="6"/>
  <c r="H46" i="6"/>
  <c r="H86" i="6"/>
  <c r="H106" i="6"/>
  <c r="H146" i="6"/>
  <c r="H166" i="6"/>
  <c r="F5" i="1"/>
  <c r="Z5" i="1"/>
  <c r="AT5" i="1"/>
  <c r="EF5" i="2" l="1"/>
  <c r="C8" i="5" s="1"/>
  <c r="IG5" i="3"/>
  <c r="IF5" i="3"/>
  <c r="A8" i="6" s="1"/>
  <c r="BA5" i="1"/>
  <c r="B11" i="7" l="1"/>
  <c r="D11" i="7" s="1"/>
  <c r="B10" i="7"/>
  <c r="D10" i="7" s="1"/>
  <c r="EE5" i="2"/>
  <c r="B9" i="7" s="1"/>
  <c r="D9" i="7" s="1"/>
  <c r="IH5" i="3"/>
  <c r="B13" i="7" s="1"/>
  <c r="D13" i="7" s="1"/>
  <c r="B12" i="7"/>
  <c r="D12" i="7" s="1"/>
  <c r="C8" i="6"/>
  <c r="II5" i="3"/>
  <c r="B14" i="7" s="1"/>
  <c r="D14" i="7" s="1"/>
  <c r="A8" i="4"/>
  <c r="B8" i="7"/>
  <c r="D8" i="7" s="1"/>
  <c r="G8" i="6" l="1"/>
  <c r="A8" i="5"/>
  <c r="E8" i="6"/>
</calcChain>
</file>

<file path=xl/sharedStrings.xml><?xml version="1.0" encoding="utf-8"?>
<sst xmlns="http://schemas.openxmlformats.org/spreadsheetml/2006/main" count="2570" uniqueCount="785">
  <si>
    <t>One Team Project Score Tracker</t>
  </si>
  <si>
    <t>Team name</t>
  </si>
  <si>
    <t>My Team</t>
  </si>
  <si>
    <t>How to use: check Full? to award the full mark, or leave it unchecked and type a partial score. Earned cells turn red at 0, yellow for partial, and green at full marks.</t>
  </si>
  <si>
    <t>Phase</t>
  </si>
  <si>
    <t>Score</t>
  </si>
  <si>
    <t>Maximum</t>
  </si>
  <si>
    <t>Progress</t>
  </si>
  <si>
    <t>Scoring logic preserved</t>
  </si>
  <si>
    <t>Phase 0</t>
  </si>
  <si>
    <t>Phase 1 keeps the original mandatory-vs-bonus calculation.
Phase 2 keeps the original mandatory, beauty, capped-core, and bonus formulas, including the beauty-overflow / 3 bonus rule.
The hidden logic sheets keep the original horizontal formula structure.</t>
  </si>
  <si>
    <t>Phase 1 Mandatory</t>
  </si>
  <si>
    <t>Phase 1 Bonus</t>
  </si>
  <si>
    <t>Phase 2 Mandatory</t>
  </si>
  <si>
    <t>Phase 2 Beauty</t>
  </si>
  <si>
    <t>Phase 2 Capped Core</t>
  </si>
  <si>
    <t>Phase 2 Bonus</t>
  </si>
  <si>
    <t>Use the Phase 0 / Phase 1 / Phase 2 tabs to score the team.</t>
  </si>
  <si>
    <t>Phase 0 — One Team Score Tracker</t>
  </si>
  <si>
    <t>Check Full? for all points. Leave it unchecked and type a partial score when you earned some, but not all, of the points.</t>
  </si>
  <si>
    <t>Total</t>
  </si>
  <si>
    <t>Section</t>
  </si>
  <si>
    <t>Subsection</t>
  </si>
  <si>
    <t>Scoring title</t>
  </si>
  <si>
    <t>Max pts</t>
  </si>
  <si>
    <t>Full?</t>
  </si>
  <si>
    <t>Partial score</t>
  </si>
  <si>
    <t>Earned</t>
  </si>
  <si>
    <t>Remaining</t>
  </si>
  <si>
    <t>What should I do?</t>
  </si>
  <si>
    <t>Scoring bucket</t>
  </si>
  <si>
    <t>Original col</t>
  </si>
  <si>
    <t>Github</t>
  </si>
  <si>
    <t>اضافه شدن اعضا به تیم در گیت‌‌هاب یا هم‌گیت</t>
  </si>
  <si>
    <t>Core</t>
  </si>
  <si>
    <t>B</t>
  </si>
  <si>
    <t>کامیت نام و شماره دانشجویی اعضا</t>
  </si>
  <si>
    <t>C</t>
  </si>
  <si>
    <t>UML</t>
  </si>
  <si>
    <t>مدیریت کاربران</t>
  </si>
  <si>
    <t>نام کاربری</t>
  </si>
  <si>
    <t>D</t>
  </si>
  <si>
    <t>رمز عبور</t>
  </si>
  <si>
    <t>E</t>
  </si>
  <si>
    <t>پیشرفت بازی</t>
  </si>
  <si>
    <t>F</t>
  </si>
  <si>
    <t>مدیریت منوها</t>
  </si>
  <si>
    <t>منوهای مختلف</t>
  </si>
  <si>
    <t>G</t>
  </si>
  <si>
    <t>وضعیت فعلی</t>
  </si>
  <si>
    <t>H</t>
  </si>
  <si>
    <t>تغییر منو</t>
  </si>
  <si>
    <t>I</t>
  </si>
  <si>
    <t>ورودی کاربر</t>
  </si>
  <si>
    <t>J</t>
  </si>
  <si>
    <t>بازی اصلی</t>
  </si>
  <si>
    <t>میزان خورشید</t>
  </si>
  <si>
    <t>K</t>
  </si>
  <si>
    <t>وضعیت بازی</t>
  </si>
  <si>
    <t>L</t>
  </si>
  <si>
    <t>مینی‌گیم‌ها</t>
  </si>
  <si>
    <t>قوانین اختصاصی</t>
  </si>
  <si>
    <t>M</t>
  </si>
  <si>
    <t>انواع مختلف</t>
  </si>
  <si>
    <t>N</t>
  </si>
  <si>
    <t>فصل</t>
  </si>
  <si>
    <t>نقشه مسیر</t>
  </si>
  <si>
    <t>O</t>
  </si>
  <si>
    <t>ویژگی‌های خاص</t>
  </si>
  <si>
    <t>P</t>
  </si>
  <si>
    <t>موج زامبی</t>
  </si>
  <si>
    <t>لیست زامبی‌ها</t>
  </si>
  <si>
    <t>Q</t>
  </si>
  <si>
    <t>شماره موج</t>
  </si>
  <si>
    <t>R</t>
  </si>
  <si>
    <t>تأخیر</t>
  </si>
  <si>
    <t>S</t>
  </si>
  <si>
    <t>گیاه</t>
  </si>
  <si>
    <t>نوع</t>
  </si>
  <si>
    <t>T</t>
  </si>
  <si>
    <t>جان گیاه</t>
  </si>
  <si>
    <t>U</t>
  </si>
  <si>
    <t>هزینه خورشید</t>
  </si>
  <si>
    <t>V</t>
  </si>
  <si>
    <t>موقعیت</t>
  </si>
  <si>
    <t>W</t>
  </si>
  <si>
    <t>قدرت حمله</t>
  </si>
  <si>
    <t>X</t>
  </si>
  <si>
    <t>زامبی</t>
  </si>
  <si>
    <t>جان زامبی</t>
  </si>
  <si>
    <t>Y</t>
  </si>
  <si>
    <t>سرعت حرکت</t>
  </si>
  <si>
    <t>Z</t>
  </si>
  <si>
    <t>آسیب به گیاه</t>
  </si>
  <si>
    <t>AA</t>
  </si>
  <si>
    <t>قابلیت‌ها</t>
  </si>
  <si>
    <t>AB</t>
  </si>
  <si>
    <t>خورشید</t>
  </si>
  <si>
    <t>مقدار خورشید</t>
  </si>
  <si>
    <t>AC</t>
  </si>
  <si>
    <t>موقعیت زمین</t>
  </si>
  <si>
    <t>AD</t>
  </si>
  <si>
    <t>زمان باقی‌مانده</t>
  </si>
  <si>
    <t>AE</t>
  </si>
  <si>
    <t>چمن‌زن</t>
  </si>
  <si>
    <t>ردیف مربوط</t>
  </si>
  <si>
    <t>AF</t>
  </si>
  <si>
    <t>فعال شده؟</t>
  </si>
  <si>
    <t>AG</t>
  </si>
  <si>
    <t>نابودی زامبی‌ها</t>
  </si>
  <si>
    <t>AH</t>
  </si>
  <si>
    <t>پرتابه</t>
  </si>
  <si>
    <t>میزان آسیب</t>
  </si>
  <si>
    <t>AI</t>
  </si>
  <si>
    <t>موقعیت جاری</t>
  </si>
  <si>
    <t>AJ</t>
  </si>
  <si>
    <t>AK</t>
  </si>
  <si>
    <t>مراحل خاص</t>
  </si>
  <si>
    <t>نوع مرحله</t>
  </si>
  <si>
    <t>AL</t>
  </si>
  <si>
    <t>لیست گیاهان</t>
  </si>
  <si>
    <t>AM</t>
  </si>
  <si>
    <t>الگوهای حمله</t>
  </si>
  <si>
    <t>AN</t>
  </si>
  <si>
    <t>کوئست</t>
  </si>
  <si>
    <t>شرح مأموریت</t>
  </si>
  <si>
    <t>AO</t>
  </si>
  <si>
    <t>مقدار پیشرفت</t>
  </si>
  <si>
    <t>AP</t>
  </si>
  <si>
    <t>کلکسیون</t>
  </si>
  <si>
    <t>گیاهان داشته</t>
  </si>
  <si>
    <t>AQ</t>
  </si>
  <si>
    <t>گیاهان قفل</t>
  </si>
  <si>
    <t>AR</t>
  </si>
  <si>
    <t>باز کردن گیاه</t>
  </si>
  <si>
    <t>AS</t>
  </si>
  <si>
    <t>گلخانه</t>
  </si>
  <si>
    <t>زمان آخر برداشت</t>
  </si>
  <si>
    <t>AT</t>
  </si>
  <si>
    <t>تولید</t>
  </si>
  <si>
    <t>AU</t>
  </si>
  <si>
    <t>فروشگاه</t>
  </si>
  <si>
    <t>آیتم‌های قابل خرید</t>
  </si>
  <si>
    <t>AV</t>
  </si>
  <si>
    <t>دائمی یا روزانه</t>
  </si>
  <si>
    <t>AW</t>
  </si>
  <si>
    <t>اخبار</t>
  </si>
  <si>
    <t>لیست اخبار</t>
  </si>
  <si>
    <t>AX</t>
  </si>
  <si>
    <t>خوانده شده؟</t>
  </si>
  <si>
    <t>AY</t>
  </si>
  <si>
    <t>HardCode</t>
  </si>
  <si>
    <t>برای مثال باید بتوان به راحتی زامبی یا گیاه جدید اضافه کرد</t>
  </si>
  <si>
    <t>AZ</t>
  </si>
  <si>
    <t>Phase 1 — One Team Score Tracker</t>
  </si>
  <si>
    <t>Mandatory</t>
  </si>
  <si>
    <t>Bonus</t>
  </si>
  <si>
    <t>زیرساخت</t>
  </si>
  <si>
    <t>github</t>
  </si>
  <si>
    <t>tag</t>
  </si>
  <si>
    <t>پروژه</t>
  </si>
  <si>
    <t>dependency management</t>
  </si>
  <si>
    <t>معماری مشخص</t>
  </si>
  <si>
    <t>شروع بازی و منوها</t>
  </si>
  <si>
    <t>منوی ثبت‌نام</t>
  </si>
  <si>
    <t>قابلیت ساخت کاربر جدید</t>
  </si>
  <si>
    <t>پرسش امنیتی</t>
  </si>
  <si>
    <t>SHA-256 (امتیازی)</t>
  </si>
  <si>
    <t>منوی ورود</t>
  </si>
  <si>
    <t>ورود</t>
  </si>
  <si>
    <t>stay logged in</t>
  </si>
  <si>
    <t>فراموشی رمز عبور</t>
  </si>
  <si>
    <t>منوی اصلی</t>
  </si>
  <si>
    <t>نمایش منوها</t>
  </si>
  <si>
    <t>ورود به منوها</t>
  </si>
  <si>
    <t>خروج</t>
  </si>
  <si>
    <t>منوی پروفایل</t>
  </si>
  <si>
    <t>تغییر فیلدها</t>
  </si>
  <si>
    <t>نمایش اطلاعات کاربر</t>
  </si>
  <si>
    <t>منوی اخبار</t>
  </si>
  <si>
    <t>نمایش اخبار</t>
  </si>
  <si>
    <t>منوی تنظیمات</t>
  </si>
  <si>
    <t>امکان تغییر سختی بازی</t>
  </si>
  <si>
    <t>منوی بازی</t>
  </si>
  <si>
    <t>امکان انتخاب چپترها</t>
  </si>
  <si>
    <t>انتخاب مرحله</t>
  </si>
  <si>
    <t>نگه داشتن پیشرفت</t>
  </si>
  <si>
    <t>خروج از بازی</t>
  </si>
  <si>
    <t>بررسی خطاها</t>
  </si>
  <si>
    <t>نمایش تعداد سکه</t>
  </si>
  <si>
    <t>نمایش تعداد الماس</t>
  </si>
  <si>
    <t>منوی کلکسیون</t>
  </si>
  <si>
    <t>نمایش گیاهان</t>
  </si>
  <si>
    <t>نمایش زامبی‌ها</t>
  </si>
  <si>
    <t>ارتقای گیاهان</t>
  </si>
  <si>
    <t>خرید گیاه</t>
  </si>
  <si>
    <t>کوئست‌ها</t>
  </si>
  <si>
    <t>منوی ترول لاگ</t>
  </si>
  <si>
    <t>نمایش کوئست‌ها</t>
  </si>
  <si>
    <t>نمایش میزان پیشرفت</t>
  </si>
  <si>
    <t>نمایش مینی‌گیم‌ها</t>
  </si>
  <si>
    <t>عملکرد کوئست</t>
  </si>
  <si>
    <t>عملکرد کوئست‌ها</t>
  </si>
  <si>
    <t>دریافت جایزه‌ی کوئست</t>
  </si>
  <si>
    <t>اولویت کوئست</t>
  </si>
  <si>
    <t>مراحل</t>
  </si>
  <si>
    <t>مراحل adventure</t>
  </si>
  <si>
    <t>مصر باستان</t>
  </si>
  <si>
    <t>غارهای یخی</t>
  </si>
  <si>
    <t>قرون وسطی</t>
  </si>
  <si>
    <t>ساحل موج بزرگ</t>
  </si>
  <si>
    <t>مراحل ویژه</t>
  </si>
  <si>
    <t>پیاده سازی حداقل 4 تا از مراحل ویژه پیشنهاد شده (هرکدام 40 نمره)</t>
  </si>
  <si>
    <t>مرحله‌ی بیشتر (امتیازی)</t>
  </si>
  <si>
    <t>وجود مراحل ویژه در adventure</t>
  </si>
  <si>
    <t>مکانیزم‌های ثابت بازی</t>
  </si>
  <si>
    <t>گذر زمان</t>
  </si>
  <si>
    <t>وجود مکانیزم</t>
  </si>
  <si>
    <t>تولید خورشید</t>
  </si>
  <si>
    <t>مشاهده میزان خورشید فعلی</t>
  </si>
  <si>
    <t>برداشتن خورشید</t>
  </si>
  <si>
    <t>سقوط خورشید از آسمان</t>
  </si>
  <si>
    <t>خورشید ویژه</t>
  </si>
  <si>
    <t>خورشید رادیواکتیو</t>
  </si>
  <si>
    <t>پیغام سقوط خورشید از آسمان</t>
  </si>
  <si>
    <t>cheat code</t>
  </si>
  <si>
    <t>BA</t>
  </si>
  <si>
    <t>ظهور زامبی‌ها</t>
  </si>
  <si>
    <t>موج‌های زامبی</t>
  </si>
  <si>
    <t>BB</t>
  </si>
  <si>
    <t>سختی موج</t>
  </si>
  <si>
    <t>BC</t>
  </si>
  <si>
    <t>پیغام موج</t>
  </si>
  <si>
    <t>BD</t>
  </si>
  <si>
    <t>خوردن گیاهان</t>
  </si>
  <si>
    <t>مکانیزم خوردن گیاه</t>
  </si>
  <si>
    <t>BE</t>
  </si>
  <si>
    <t>سایر استراتژی حمله به گیاهان</t>
  </si>
  <si>
    <t>BF</t>
  </si>
  <si>
    <t>خورده شدن توسط چند زامبی</t>
  </si>
  <si>
    <t>BG</t>
  </si>
  <si>
    <t>محیط باغ</t>
  </si>
  <si>
    <t>امکان کاشت گیاه</t>
  </si>
  <si>
    <t>BH</t>
  </si>
  <si>
    <t>مشاهده تعداد غذای گیاه</t>
  </si>
  <si>
    <t>BI</t>
  </si>
  <si>
    <t>امکان دادن غذای گیاه به گیاهان</t>
  </si>
  <si>
    <t>BJ</t>
  </si>
  <si>
    <t>امکان کندن گیاه با بیل</t>
  </si>
  <si>
    <t>BK</t>
  </si>
  <si>
    <t>ماشین چمن‌زنی</t>
  </si>
  <si>
    <t>BL</t>
  </si>
  <si>
    <t>مشاهده محیط باغ</t>
  </si>
  <si>
    <t>BM</t>
  </si>
  <si>
    <t>مشاهده جزئیات مربوط به یک خانه</t>
  </si>
  <si>
    <t>BN</t>
  </si>
  <si>
    <t>BO</t>
  </si>
  <si>
    <t>صفحه انتخاب گیاهان</t>
  </si>
  <si>
    <t>مشاهده لیست گیاهان</t>
  </si>
  <si>
    <t>BP</t>
  </si>
  <si>
    <t>انتخاب یا عدم انتخاب گیاه</t>
  </si>
  <si>
    <t>BQ</t>
  </si>
  <si>
    <t>امکان بوست گیاهان</t>
  </si>
  <si>
    <t>BR</t>
  </si>
  <si>
    <t>کشتن زامبی</t>
  </si>
  <si>
    <t>دریافت جوایز</t>
  </si>
  <si>
    <t>BS</t>
  </si>
  <si>
    <t>غذای گیاه</t>
  </si>
  <si>
    <t>BT</t>
  </si>
  <si>
    <t>امکان برد</t>
  </si>
  <si>
    <t>BU</t>
  </si>
  <si>
    <t>امکان باخت</t>
  </si>
  <si>
    <t>BV</t>
  </si>
  <si>
    <t>زامبی ها</t>
  </si>
  <si>
    <t>پیاده سازی تمام زامبی ها</t>
  </si>
  <si>
    <t>زامبی‌های اجباری</t>
  </si>
  <si>
    <t>BW</t>
  </si>
  <si>
    <t>زامبی‌های امتیازی</t>
  </si>
  <si>
    <t>BX</t>
  </si>
  <si>
    <t>زامبی ها در طی مراحل</t>
  </si>
  <si>
    <t>نمایش اطلاعات زامبی ها</t>
  </si>
  <si>
    <t>BY</t>
  </si>
  <si>
    <t>BZ</t>
  </si>
  <si>
    <t>گیاهان</t>
  </si>
  <si>
    <t>پیاده سازی</t>
  </si>
  <si>
    <t>پیاده سازی طبقه بندی گیاهان</t>
  </si>
  <si>
    <t>CA</t>
  </si>
  <si>
    <t>تگ ها</t>
  </si>
  <si>
    <t>CB</t>
  </si>
  <si>
    <t>پیاده سازی تمام گیاهان</t>
  </si>
  <si>
    <t>CC</t>
  </si>
  <si>
    <t>گیاهان امتیازی</t>
  </si>
  <si>
    <t>CD</t>
  </si>
  <si>
    <t>مکانیزم ها</t>
  </si>
  <si>
    <t>ارتقای گیاه</t>
  </si>
  <si>
    <t>CE</t>
  </si>
  <si>
    <t>CF</t>
  </si>
  <si>
    <t>آنلاک کردن</t>
  </si>
  <si>
    <t>CG</t>
  </si>
  <si>
    <t>وضعیت کلی گلخانه</t>
  </si>
  <si>
    <t>نمایش گلخانه</t>
  </si>
  <si>
    <t>CH</t>
  </si>
  <si>
    <t>گلدان های قفل</t>
  </si>
  <si>
    <t>CI</t>
  </si>
  <si>
    <t>کاشت گیاه در گلخانه</t>
  </si>
  <si>
    <t>کاشتن</t>
  </si>
  <si>
    <t>CJ</t>
  </si>
  <si>
    <t>گل یا گیاه تصادفی</t>
  </si>
  <si>
    <t>CK</t>
  </si>
  <si>
    <t>رشد گیاهان</t>
  </si>
  <si>
    <t>CL</t>
  </si>
  <si>
    <t>برداشت گیاه</t>
  </si>
  <si>
    <t>CM</t>
  </si>
  <si>
    <t>تسریع رشد</t>
  </si>
  <si>
    <t>CN</t>
  </si>
  <si>
    <t>کالاها</t>
  </si>
  <si>
    <t>کالاهای دائمی</t>
  </si>
  <si>
    <t>CO</t>
  </si>
  <si>
    <t>پیشنهاد روزانه</t>
  </si>
  <si>
    <t>CP</t>
  </si>
  <si>
    <t>خرید</t>
  </si>
  <si>
    <t>CQ</t>
  </si>
  <si>
    <t>امتیاز</t>
  </si>
  <si>
    <t>لیدربورد</t>
  </si>
  <si>
    <t>مشاهده لیدربورد</t>
  </si>
  <si>
    <t>CR</t>
  </si>
  <si>
    <t>مرتب سازی براساس مورد خواسته شده</t>
  </si>
  <si>
    <t>CS</t>
  </si>
  <si>
    <t>آپدیت لیدربورد</t>
  </si>
  <si>
    <t>CT</t>
  </si>
  <si>
    <t>بازی امتیازی</t>
  </si>
  <si>
    <t>الگوهای محاسبه امتیاز (امتیازی)</t>
  </si>
  <si>
    <t>CU</t>
  </si>
  <si>
    <t>ذخیره بهترین امتیاز (امتیازی)</t>
  </si>
  <si>
    <t>CV</t>
  </si>
  <si>
    <t>الگوریتم ثابت ظهور زامبی در این مرحله</t>
  </si>
  <si>
    <t>CW</t>
  </si>
  <si>
    <t>مینی‌گیم ها</t>
  </si>
  <si>
    <t>کوزه شکن</t>
  </si>
  <si>
    <t>وجود مینی‌گیم</t>
  </si>
  <si>
    <t>CX</t>
  </si>
  <si>
    <t>اثر شکستن کوزه</t>
  </si>
  <si>
    <t>CY</t>
  </si>
  <si>
    <t>خواص seed packet</t>
  </si>
  <si>
    <t>CZ</t>
  </si>
  <si>
    <t>کوزه گیاه</t>
  </si>
  <si>
    <t>DA</t>
  </si>
  <si>
    <t>کوزه غول</t>
  </si>
  <si>
    <t>DB</t>
  </si>
  <si>
    <t>وجود چند مرحله</t>
  </si>
  <si>
    <t>DC</t>
  </si>
  <si>
    <t>امکان برد و باخت</t>
  </si>
  <si>
    <t>DD</t>
  </si>
  <si>
    <t>بولینگ گردویی</t>
  </si>
  <si>
    <t>DE</t>
  </si>
  <si>
    <t>عملکرد مناسب گردوها</t>
  </si>
  <si>
    <t>DF</t>
  </si>
  <si>
    <t>DG</t>
  </si>
  <si>
    <t>DH</t>
  </si>
  <si>
    <t>من زامبی</t>
  </si>
  <si>
    <t>DI</t>
  </si>
  <si>
    <t>امکان گذاشتن زامبی</t>
  </si>
  <si>
    <t>DJ</t>
  </si>
  <si>
    <t>DK</t>
  </si>
  <si>
    <t>DL</t>
  </si>
  <si>
    <t>Beghouled</t>
  </si>
  <si>
    <t>امکان جابه‌جایی گیاهان</t>
  </si>
  <si>
    <t>DM</t>
  </si>
  <si>
    <t>ساخت ترکیب</t>
  </si>
  <si>
    <t>DN</t>
  </si>
  <si>
    <t>فروریختن گیاهان</t>
  </si>
  <si>
    <t>DO</t>
  </si>
  <si>
    <t>خورده شدن گیاه</t>
  </si>
  <si>
    <t>DP</t>
  </si>
  <si>
    <t>ریست شدن زمین</t>
  </si>
  <si>
    <t>DQ</t>
  </si>
  <si>
    <t>DR</t>
  </si>
  <si>
    <t>DS</t>
  </si>
  <si>
    <t>DT</t>
  </si>
  <si>
    <t>زامبی گیاهی</t>
  </si>
  <si>
    <t>زامبی تیرانداز</t>
  </si>
  <si>
    <t>DU</t>
  </si>
  <si>
    <t>زامبی گردو</t>
  </si>
  <si>
    <t>DV</t>
  </si>
  <si>
    <t>زامبی فلفل</t>
  </si>
  <si>
    <t>DW</t>
  </si>
  <si>
    <t>DX</t>
  </si>
  <si>
    <t>زامبی کدو</t>
  </si>
  <si>
    <t>DY</t>
  </si>
  <si>
    <t>تجربه ی کاربری</t>
  </si>
  <si>
    <t>UX</t>
  </si>
  <si>
    <t>راحتی، زیبایی، روان بودن، کرش نکردن</t>
  </si>
  <si>
    <t>DZ</t>
  </si>
  <si>
    <t>Phase 2 — One Team Score Tracker</t>
  </si>
  <si>
    <t>Beauty</t>
  </si>
  <si>
    <t>Capped core</t>
  </si>
  <si>
    <t>Not counted in Phase 2 total</t>
  </si>
  <si>
    <t>منو‌ها (1475)</t>
  </si>
  <si>
    <t>مشترک (15)</t>
  </si>
  <si>
    <t>نمایش سکه و الماس</t>
  </si>
  <si>
    <t>افزودن سکه و الماس</t>
  </si>
  <si>
    <t>منوی ثبت‌نام (25)</t>
  </si>
  <si>
    <t>دریافت اطلاعات</t>
  </si>
  <si>
    <t>نمایش خطا‌ها</t>
  </si>
  <si>
    <t>منوی ورود (45)</t>
  </si>
  <si>
    <t>فراموشی رمز</t>
  </si>
  <si>
    <t>منوی اصلی (15)</t>
  </si>
  <si>
    <t>اخبار خوانده نشده</t>
  </si>
  <si>
    <t>کاربر فعلی</t>
  </si>
  <si>
    <t>منوی پروفایل (50)</t>
  </si>
  <si>
    <t>نمایش اطلاعات</t>
  </si>
  <si>
    <t>تغییر اطلاعات</t>
  </si>
  <si>
    <t>منوی ماجراجویی (95)</t>
  </si>
  <si>
    <t>نمایش فصل‌ها</t>
  </si>
  <si>
    <t>مشاهده مراحل</t>
  </si>
  <si>
    <t>ورود به مراحل</t>
  </si>
  <si>
    <t>منوی کلکسیون (280)</t>
  </si>
  <si>
    <t>فهرست گیاهان</t>
  </si>
  <si>
    <t>فهرست زامبی‌ها</t>
  </si>
  <si>
    <t>اطلاعات جزئی گیاهان</t>
  </si>
  <si>
    <t>اطلاعات جزئی زامبی‌ها</t>
  </si>
  <si>
    <t>خرید گیاهان</t>
  </si>
  <si>
    <t>نمایش خطا</t>
  </si>
  <si>
    <t>فیلتر گیاهان</t>
  </si>
  <si>
    <t>منوی گلخانه (125)</t>
  </si>
  <si>
    <t>انیمیشن گیاهان</t>
  </si>
  <si>
    <t>زمان باقی‌مانده از رشد</t>
  </si>
  <si>
    <t>کاشت گیاه</t>
  </si>
  <si>
    <t>اعلام جوایز</t>
  </si>
  <si>
    <t>نمایش پس‌زمینه و گلدان‌ها</t>
  </si>
  <si>
    <t>منوی فروشگاه (170)</t>
  </si>
  <si>
    <t>عنوان و تصویر</t>
  </si>
  <si>
    <t>قیمت هر کالا</t>
  </si>
  <si>
    <t>خرید بسته بذر انتخابی</t>
  </si>
  <si>
    <t>کالای روزانه</t>
  </si>
  <si>
    <t>اعلان بعد از خرید</t>
  </si>
  <si>
    <t>تأیید گرفتن</t>
  </si>
  <si>
    <t>منوی اخبار (30)</t>
  </si>
  <si>
    <t>فهرست اخبار</t>
  </si>
  <si>
    <t>جدول امتیازات (70)</t>
  </si>
  <si>
    <t>فهرست کاربران</t>
  </si>
  <si>
    <t>گزینه مرتب‌سازی</t>
  </si>
  <si>
    <t>منوی تنظیمات (65)</t>
  </si>
  <si>
    <t>تنظیمات سختی</t>
  </si>
  <si>
    <t>تنظیمات سرعت پیشروی</t>
  </si>
  <si>
    <t>تنظیمات شبکه‌بندی زمین</t>
  </si>
  <si>
    <t>حالت دیباگ</t>
  </si>
  <si>
    <t>انتخاب گیاهان (215)</t>
  </si>
  <si>
    <t>نمایش گیاهان انتخاب‌شده</t>
  </si>
  <si>
    <t>انتخاب گیاه</t>
  </si>
  <si>
    <t>حذف یک گیاه از گیاهان انتخاب‌شده</t>
  </si>
  <si>
    <t>بوست گیاهان</t>
  </si>
  <si>
    <t>وضعیت بوست بودن گیاه</t>
  </si>
  <si>
    <t>نمایش حداکثر گیاهان انتخابی</t>
  </si>
  <si>
    <t>گزینه شروع بازی</t>
  </si>
  <si>
    <t>منوی توقف (45)</t>
  </si>
  <si>
    <t>شروع مجدد بازی</t>
  </si>
  <si>
    <t>ذخیره و خروج</t>
  </si>
  <si>
    <t>ادامه دادن بازی</t>
  </si>
  <si>
    <t>منوی آغاز مرحله (40)</t>
  </si>
  <si>
    <t>نمایش مأموریت‌ها</t>
  </si>
  <si>
    <t>منوی برد/باخت (50)</t>
  </si>
  <si>
    <t>اعلام وضعیت</t>
  </si>
  <si>
    <t>گزینه خروج</t>
  </si>
  <si>
    <t>گزینه شروع مجدد</t>
  </si>
  <si>
    <t>منوی مأموریت‌ها (140)</t>
  </si>
  <si>
    <t>گزینه ورود به مینی‌گیم‌ها</t>
  </si>
  <si>
    <t>اطلاعات بازی (220)</t>
  </si>
  <si>
    <t>تعداد خورشید‌ها (5)</t>
  </si>
  <si>
    <t>نمایش تعداد خورشیدها</t>
  </si>
  <si>
    <t>پیشروی زامبی‌ها (50)</t>
  </si>
  <si>
    <t>نمایش پیوسته پیشروی زامبی‌ها</t>
  </si>
  <si>
    <t>نمایش جایگاه موج‌ها</t>
  </si>
  <si>
    <t>تعداد غذای گیاهان (5)</t>
  </si>
  <si>
    <t>نمایش تعداد غذاهای گیاه</t>
  </si>
  <si>
    <t>اعلان‌ها حین بازی (100)</t>
  </si>
  <si>
    <t>اعلان شروع بازی</t>
  </si>
  <si>
    <t>اعلان شروع موج</t>
  </si>
  <si>
    <t>اعلان نکرومنسی</t>
  </si>
  <si>
    <t>اعلان ساحل‌های پست</t>
  </si>
  <si>
    <t>دیالوگ ان‌پی‌سی (60)</t>
  </si>
  <si>
    <t>دیالوگ ان پی سی</t>
  </si>
  <si>
    <t>المان‌های محیط بازی (1305)</t>
  </si>
  <si>
    <t>پس‌زمینه (120)</t>
  </si>
  <si>
    <t>قرارگیری مناسب</t>
  </si>
  <si>
    <t>قابل‌مشاهده بودن جدول بازی</t>
  </si>
  <si>
    <t>پس‌زمینه متناسب با مرحله</t>
  </si>
  <si>
    <t>گیاهان (335)</t>
  </si>
  <si>
    <t>انیمیشن حالت بیکار</t>
  </si>
  <si>
    <t>سطوح یخ‌زدگی گیاهان</t>
  </si>
  <si>
    <t>زامبی‌ها (335)</t>
  </si>
  <si>
    <t>انیمیشن راه رفتن</t>
  </si>
  <si>
    <t>زره زامبی‌ها</t>
  </si>
  <si>
    <t>مشخص بودن تأثیرات خاص</t>
  </si>
  <si>
    <t>پرتابه‌ها (300)</t>
  </si>
  <si>
    <t>حرکت پرتابه‌ها</t>
  </si>
  <si>
    <t>انواع پرتابه‌ها</t>
  </si>
  <si>
    <t>برخورد پرتابه‌ها</t>
  </si>
  <si>
    <t>خورشید (115)</t>
  </si>
  <si>
    <t>خورشیدهای روی زمین</t>
  </si>
  <si>
    <t>پیوستگی افتادن خورشیدها</t>
  </si>
  <si>
    <t>جمع‌آوری خورشیدها</t>
  </si>
  <si>
    <t>نمایش انواع خورشید</t>
  </si>
  <si>
    <t>غذای گیاه (50)</t>
  </si>
  <si>
    <t>نمایش متفاوت</t>
  </si>
  <si>
    <t>مطلع شدن کاربر</t>
  </si>
  <si>
    <t>سکه، گلدان، و الماس (20)</t>
  </si>
  <si>
    <t>قبر‌ها (15)</t>
  </si>
  <si>
    <t>نمایش قبرها</t>
  </si>
  <si>
    <t>چمن‌زن‌ها (15)</t>
  </si>
  <si>
    <t>نمایش چمن‌زن‌ها</t>
  </si>
  <si>
    <t>تعاملات کاربر با بازی (220)</t>
  </si>
  <si>
    <t>کاشت (45)</t>
  </si>
  <si>
    <t>خانه تحت تأثیر</t>
  </si>
  <si>
    <t>برداشت (60)</t>
  </si>
  <si>
    <t>گزینه برداشت</t>
  </si>
  <si>
    <t>اشاره‌گر موس</t>
  </si>
  <si>
    <t>استفاده از غذای گیاه (60)</t>
  </si>
  <si>
    <t>دادن غذای گیاه</t>
  </si>
  <si>
    <t>تقلب (20)</t>
  </si>
  <si>
    <t>افزایش منابع</t>
  </si>
  <si>
    <t>توقف بازی (35)</t>
  </si>
  <si>
    <t>ثابت بودن بازی</t>
  </si>
  <si>
    <t>توانایی توقف بازی</t>
  </si>
  <si>
    <t>انواع مراحل ماجراجویی (275)</t>
  </si>
  <si>
    <t>مراحل عادی (130)</t>
  </si>
  <si>
    <t>گیاهان انتخابی</t>
  </si>
  <si>
    <t>انتخاب برای کاشت</t>
  </si>
  <si>
    <t>وضعیت بوست بودن</t>
  </si>
  <si>
    <t>زمان تا کاشت بعد</t>
  </si>
  <si>
    <t>هزینه گیاه</t>
  </si>
  <si>
    <t>نوار کناری (55)</t>
  </si>
  <si>
    <t>گیاهان روی نوار</t>
  </si>
  <si>
    <t>کاشت</t>
  </si>
  <si>
    <t>محافظ دانه‌ها (10)</t>
  </si>
  <si>
    <t>خانه‌های خطر</t>
  </si>
  <si>
    <t>ددلاین (10)</t>
  </si>
  <si>
    <t>خط خطر</t>
  </si>
  <si>
    <t>مراحل نبرد زمان‌دار (20)</t>
  </si>
  <si>
    <t>وضعیت مأموریت‌ها</t>
  </si>
  <si>
    <t>از دست نده (5)</t>
  </si>
  <si>
    <t>تعداد گیاهان</t>
  </si>
  <si>
    <t>هرچه رسد بکار (45)</t>
  </si>
  <si>
    <t>گزینه‌ای برای شروع موج زامبی‌ها</t>
  </si>
  <si>
    <t>توانایی کاشت بی‌وقفه</t>
  </si>
  <si>
    <t>مینی‌گیم‌ها (330)</t>
  </si>
  <si>
    <t>کوزه‌شکنی (90)</t>
  </si>
  <si>
    <t>کوزه‌ها و انواعشان</t>
  </si>
  <si>
    <t>شکستن کوزه‌ها</t>
  </si>
  <si>
    <t>بولینگ گردویی (90)</t>
  </si>
  <si>
    <t>انواع گردوها</t>
  </si>
  <si>
    <t>نوار کناری</t>
  </si>
  <si>
    <t>مرز کاشت</t>
  </si>
  <si>
    <t>حرکت گردوها</t>
  </si>
  <si>
    <t>من زامبی (150)</t>
  </si>
  <si>
    <t>EA</t>
  </si>
  <si>
    <t>انیمیشن کاشت</t>
  </si>
  <si>
    <t>EB</t>
  </si>
  <si>
    <t>سطر کاشت</t>
  </si>
  <si>
    <t>EC</t>
  </si>
  <si>
    <t>تولید کنندگان</t>
  </si>
  <si>
    <t>ED</t>
  </si>
  <si>
    <t>نمایش مغز‌ها</t>
  </si>
  <si>
    <t>EE</t>
  </si>
  <si>
    <t>فصل‌ها (220)</t>
  </si>
  <si>
    <t>مصر باستان (25)</t>
  </si>
  <si>
    <t>نمایش گردباد</t>
  </si>
  <si>
    <t>EF</t>
  </si>
  <si>
    <t>غار‌های یخی (60)</t>
  </si>
  <si>
    <t>بادهای یخی</t>
  </si>
  <si>
    <t>EG</t>
  </si>
  <si>
    <t>نمایش زمین‌های لیز</t>
  </si>
  <si>
    <t>EH</t>
  </si>
  <si>
    <t>زامبی‌های یخ‌زده</t>
  </si>
  <si>
    <t>EI</t>
  </si>
  <si>
    <t>ساحل موج بزرگ (95)</t>
  </si>
  <si>
    <t>آب دریا</t>
  </si>
  <si>
    <t>EJ</t>
  </si>
  <si>
    <t>تغییر سطح آب</t>
  </si>
  <si>
    <t>EK</t>
  </si>
  <si>
    <t>مرز آب دریا</t>
  </si>
  <si>
    <t>EL</t>
  </si>
  <si>
    <t>نمایش ساحل‌های پست</t>
  </si>
  <si>
    <t>EM</t>
  </si>
  <si>
    <t>قرون وسطا (40)</t>
  </si>
  <si>
    <t>انواع قبر</t>
  </si>
  <si>
    <t>EN</t>
  </si>
  <si>
    <t>خانه‌های نکرومنسی</t>
  </si>
  <si>
    <t>EO</t>
  </si>
  <si>
    <t>زیبایی (2425)</t>
  </si>
  <si>
    <t>جلوه انفجار</t>
  </si>
  <si>
    <t>EP</t>
  </si>
  <si>
    <t>لرزیدن صفحه</t>
  </si>
  <si>
    <t>EQ</t>
  </si>
  <si>
    <t>زمان‌بندی مناسب</t>
  </si>
  <si>
    <t>ER</t>
  </si>
  <si>
    <t>تغییر شکل زره</t>
  </si>
  <si>
    <t>ES</t>
  </si>
  <si>
    <t>افتادن سر، دست، و زره زامبی‌ها (300)</t>
  </si>
  <si>
    <t>افتادن سر زامبی‌ها</t>
  </si>
  <si>
    <t>ET</t>
  </si>
  <si>
    <t>افتادن دست زامبی‌ها</t>
  </si>
  <si>
    <t>EU</t>
  </si>
  <si>
    <t>افتادن زره زامبی‌ها</t>
  </si>
  <si>
    <t>EV</t>
  </si>
  <si>
    <t>جلوه برخورد پرتابه‌ها</t>
  </si>
  <si>
    <t>EW</t>
  </si>
  <si>
    <t>جلوه آسیب دیدن موجودیت‌ها (75)</t>
  </si>
  <si>
    <t>EX</t>
  </si>
  <si>
    <t>زامبی‌ها</t>
  </si>
  <si>
    <t>EY</t>
  </si>
  <si>
    <t>قبر‌ها</t>
  </si>
  <si>
    <t>EZ</t>
  </si>
  <si>
    <t>گیاهان/زامبی‌های یخ زده</t>
  </si>
  <si>
    <t>FA</t>
  </si>
  <si>
    <t>اختاپوس‌ها</t>
  </si>
  <si>
    <t>FB</t>
  </si>
  <si>
    <t>تغییر ظاهر قبر‌ها</t>
  </si>
  <si>
    <t>FC</t>
  </si>
  <si>
    <t>حرکت پیوسته چمن‌زن‌ها (50)</t>
  </si>
  <si>
    <t>حرکت پیوسته چمن‌زن</t>
  </si>
  <si>
    <t>FD</t>
  </si>
  <si>
    <t>کشته شدن زامبی‌ها</t>
  </si>
  <si>
    <t>FE</t>
  </si>
  <si>
    <t>جلوه غذای گیاه</t>
  </si>
  <si>
    <t>FF</t>
  </si>
  <si>
    <t>پیاده‌سازی نوار کناری با انیمیشن (105)</t>
  </si>
  <si>
    <t>حرکت پیوسته گیاهان</t>
  </si>
  <si>
    <t>FG</t>
  </si>
  <si>
    <t>انباشته شدن گیاهان</t>
  </si>
  <si>
    <t>FH</t>
  </si>
  <si>
    <t>پس زمینه نوار</t>
  </si>
  <si>
    <t>FI</t>
  </si>
  <si>
    <t>زامبی‌های نزدیک خط پایان</t>
  </si>
  <si>
    <t>FJ</t>
  </si>
  <si>
    <t>پودر شدن زامبی‌ها</t>
  </si>
  <si>
    <t>FK</t>
  </si>
  <si>
    <t>جمع آوری دستی غذای گیاه</t>
  </si>
  <si>
    <t>FL</t>
  </si>
  <si>
    <t>جلوه‌های رابط‌کاربری</t>
  </si>
  <si>
    <t>FM</t>
  </si>
  <si>
    <t>پرتاب شدن Imp</t>
  </si>
  <si>
    <t>FN</t>
  </si>
  <si>
    <t>ترتیب درست نمایش</t>
  </si>
  <si>
    <t>FO</t>
  </si>
  <si>
    <t>موقعیت درست پرتابه‌ها</t>
  </si>
  <si>
    <t>FP</t>
  </si>
  <si>
    <t>موسیقی و صدا (75)</t>
  </si>
  <si>
    <t>موسیقی مراحل</t>
  </si>
  <si>
    <t>FQ</t>
  </si>
  <si>
    <t>موسیقی منوها</t>
  </si>
  <si>
    <t>FR</t>
  </si>
  <si>
    <t>جلوه‌های صوتی</t>
  </si>
  <si>
    <t>FS</t>
  </si>
  <si>
    <t>تنظیمات</t>
  </si>
  <si>
    <t>FT</t>
  </si>
  <si>
    <t>انیمیشن‌های گیاهان و زامبی‌ها (580)</t>
  </si>
  <si>
    <t>شلیک</t>
  </si>
  <si>
    <t>FU</t>
  </si>
  <si>
    <t>FV</t>
  </si>
  <si>
    <t>گیاهان مبارز</t>
  </si>
  <si>
    <t>FW</t>
  </si>
  <si>
    <t>گیاهان مدافع</t>
  </si>
  <si>
    <t>FX</t>
  </si>
  <si>
    <t>نعناها</t>
  </si>
  <si>
    <t>FY</t>
  </si>
  <si>
    <t>گیاهان Charge</t>
  </si>
  <si>
    <t>FZ</t>
  </si>
  <si>
    <t>کدو</t>
  </si>
  <si>
    <t>GA</t>
  </si>
  <si>
    <t>GB</t>
  </si>
  <si>
    <t>انیمیشن های زامبی ها (585)</t>
  </si>
  <si>
    <t>پرتاب Imp</t>
  </si>
  <si>
    <t>GC</t>
  </si>
  <si>
    <t>لگد زدن</t>
  </si>
  <si>
    <t>GD</t>
  </si>
  <si>
    <t>خورشیددزد</t>
  </si>
  <si>
    <t>GE</t>
  </si>
  <si>
    <t>قبرساز</t>
  </si>
  <si>
    <t>GF</t>
  </si>
  <si>
    <t>شکارچی</t>
  </si>
  <si>
    <t>GG</t>
  </si>
  <si>
    <t>غواص</t>
  </si>
  <si>
    <t>GH</t>
  </si>
  <si>
    <t>اختاپوس پرت کن</t>
  </si>
  <si>
    <t>GI</t>
  </si>
  <si>
    <t>GJ</t>
  </si>
  <si>
    <t>ضربه غول پیکر</t>
  </si>
  <si>
    <t>GK</t>
  </si>
  <si>
    <t>مردن</t>
  </si>
  <si>
    <t>GL</t>
  </si>
  <si>
    <t>نمایش تعداد غذای گیاه</t>
  </si>
  <si>
    <t>GM</t>
  </si>
  <si>
    <t>جا به جایی درست زامبی</t>
  </si>
  <si>
    <t>GN</t>
  </si>
  <si>
    <t>امتیازی (835)</t>
  </si>
  <si>
    <t>زامبی‌ها و گیاهان امتیازی (85)</t>
  </si>
  <si>
    <t>GO</t>
  </si>
  <si>
    <t>GP</t>
  </si>
  <si>
    <t>مینی‌گیم ترکیب سه‌تایی (75)</t>
  </si>
  <si>
    <t>جابه جایی با موس</t>
  </si>
  <si>
    <t>GQ</t>
  </si>
  <si>
    <t>نرم بودن حرکات</t>
  </si>
  <si>
    <t>GR</t>
  </si>
  <si>
    <t>ترکیب‌های باقیمانده</t>
  </si>
  <si>
    <t>GS</t>
  </si>
  <si>
    <t>گزینه ارتقای گیاهان</t>
  </si>
  <si>
    <t>GT</t>
  </si>
  <si>
    <t>مینی‌گیم زامبی‌های گیاهی (25)</t>
  </si>
  <si>
    <t>GU</t>
  </si>
  <si>
    <t>بازی امتیازی (80)</t>
  </si>
  <si>
    <t>اعلان‌ها</t>
  </si>
  <si>
    <t>GV</t>
  </si>
  <si>
    <t>موارد مشترک زامباس (120)</t>
  </si>
  <si>
    <t>نوار کناری در مراحل زامباس</t>
  </si>
  <si>
    <t>GW</t>
  </si>
  <si>
    <t>اشغال دو سطر</t>
  </si>
  <si>
    <t>GX</t>
  </si>
  <si>
    <t>نوار جان</t>
  </si>
  <si>
    <t>GY</t>
  </si>
  <si>
    <t>گیج شدن</t>
  </si>
  <si>
    <t>GZ</t>
  </si>
  <si>
    <t>ظاهر کردن زامبی‌ها</t>
  </si>
  <si>
    <t>HA</t>
  </si>
  <si>
    <t>جابه‌جایی بین سطر‌ها</t>
  </si>
  <si>
    <t>HB</t>
  </si>
  <si>
    <t>زامباس قرون وسطا (140)</t>
  </si>
  <si>
    <t>گلوله‌های آتشین</t>
  </si>
  <si>
    <t>HC</t>
  </si>
  <si>
    <t>آتش زدن دو ردیف</t>
  </si>
  <si>
    <t>HD</t>
  </si>
  <si>
    <t>زمین‌های آتش گرفته</t>
  </si>
  <si>
    <t>HE</t>
  </si>
  <si>
    <t>HF</t>
  </si>
  <si>
    <t>انیمیشن پرتاب گلوله</t>
  </si>
  <si>
    <t>HG</t>
  </si>
  <si>
    <t>انیمیشن آتش زدن</t>
  </si>
  <si>
    <t>HH</t>
  </si>
  <si>
    <t>انیمیشن گیج شدن</t>
  </si>
  <si>
    <t>HI</t>
  </si>
  <si>
    <t>زامباس مصر (105)</t>
  </si>
  <si>
    <t>موشک</t>
  </si>
  <si>
    <t>HJ</t>
  </si>
  <si>
    <t>حرکت سریع به جلو</t>
  </si>
  <si>
    <t>HK</t>
  </si>
  <si>
    <t>انیمیشن موشک</t>
  </si>
  <si>
    <t>HL</t>
  </si>
  <si>
    <t>انیمیشن ظاهر کردن زامبی</t>
  </si>
  <si>
    <t>HM</t>
  </si>
  <si>
    <t>HN</t>
  </si>
  <si>
    <t>HO</t>
  </si>
  <si>
    <t>زامباس غارهای یخی (115)</t>
  </si>
  <si>
    <t>موشک ماموت</t>
  </si>
  <si>
    <t>HP</t>
  </si>
  <si>
    <t>باد یخی ماموت</t>
  </si>
  <si>
    <t>HQ</t>
  </si>
  <si>
    <t>HR</t>
  </si>
  <si>
    <t>انیمیشن باد یخی</t>
  </si>
  <si>
    <t>HS</t>
  </si>
  <si>
    <t>HT</t>
  </si>
  <si>
    <t>انیمیشن پرتاب موشک</t>
  </si>
  <si>
    <t>HU</t>
  </si>
  <si>
    <t>انیمیشن ظاهر کردن زامبی یخی</t>
  </si>
  <si>
    <t>HV</t>
  </si>
  <si>
    <t>زامباس ساحل (90)</t>
  </si>
  <si>
    <t>کوسه‌های کوچک</t>
  </si>
  <si>
    <t>HW</t>
  </si>
  <si>
    <t>توربین</t>
  </si>
  <si>
    <t>HX</t>
  </si>
  <si>
    <t>HY</t>
  </si>
  <si>
    <t>انیمیشن توربین</t>
  </si>
  <si>
    <t>HZ</t>
  </si>
  <si>
    <t>انیمیشن ظاهر کردن کوسه</t>
  </si>
  <si>
    <t>IA</t>
  </si>
  <si>
    <t>Original column</t>
  </si>
  <si>
    <t>Max</t>
  </si>
  <si>
    <t>One team</t>
  </si>
  <si>
    <t>IB</t>
  </si>
  <si>
    <t>IC</t>
  </si>
  <si>
    <t>ID</t>
  </si>
  <si>
    <t>IE</t>
  </si>
  <si>
    <t>IF</t>
  </si>
  <si>
    <t>IG</t>
  </si>
  <si>
    <t>IH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</si>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</sst>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0">
    <font>
      <sz val="11"/>
      <name val="Carlito"/>
    </font>
    <font>
      <b/>
      <sz val="18"/>
      <color rgb="FFFFFFFF"/>
      <name val="Carlito"/>
    </font>
    <font>
      <b/>
      <sz val="11"/>
      <color rgb="FF0F172A"/>
      <name val="Carlito"/>
    </font>
    <font>
      <b/>
      <sz val="12"/>
      <name val="Carlito"/>
    </font>
    <font>
      <b/>
      <sz val="11"/>
      <color rgb="FF1E3A8A"/>
      <name val="Carlito"/>
    </font>
    <font>
      <b/>
      <sz val="11"/>
      <color rgb="FFFFFFFF"/>
      <name val="Carlito"/>
    </font>
    <font>
      <b/>
      <sz val="14"/>
      <color rgb="FF0F172A"/>
      <name val="Carlito"/>
    </font>
    <font>
      <b/>
      <sz val="11"/>
      <name val="Carlito"/>
    </font>
    <font>
      <sz val="9"/>
      <color rgb="FF64748B"/>
      <name val="Carlito"/>
    </font>
    <font>
      <i/>
      <sz val="11"/>
      <color rgb="FF475569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7ED"/>
      </patternFill>
    </fill>
    <fill>
      <patternFill patternType="solid">
        <fgColor rgb="FFF1F5F9"/>
      </patternFill>
    </fill>
  </fills>
  <borders count="18">
    <border>
      <left/>
      <right/>
      <top/>
      <bottom/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 wrapText="1"/>
    </xf>
    <xf numFmtId="0" fontId="0" fillId="0" borderId="0" xfId="0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4" fontId="2" fillId="3" borderId="13" xfId="0" applyNumberFormat="1" applyFont="1" applyFill="1" applyBorder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4" fontId="2" fillId="3" borderId="14" xfId="0" applyNumberFormat="1" applyFont="1" applyFill="1" applyBorder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4" fontId="0" fillId="9" borderId="5" xfId="0" applyNumberFormat="1" applyFill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64" fontId="0" fillId="9" borderId="10" xfId="0" applyNumberFormat="1" applyFill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164" fontId="0" fillId="0" borderId="0" xfId="0" applyNumberFormat="1"/>
    <xf numFmtId="164" fontId="0" fillId="0" borderId="5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0" xfId="0" applyNumberFormat="1" applyBorder="1" applyAlignment="1">
      <alignment vertical="center"/>
    </xf>
    <xf numFmtId="9" fontId="0" fillId="0" borderId="6" xfId="0" applyNumberFormat="1" applyBorder="1" applyAlignment="1">
      <alignment vertical="center"/>
    </xf>
    <xf numFmtId="9" fontId="0" fillId="0" borderId="8" xfId="0" applyNumberFormat="1" applyBorder="1" applyAlignment="1">
      <alignment vertical="center"/>
    </xf>
    <xf numFmtId="9" fontId="0" fillId="0" borderId="11" xfId="0" applyNumberFormat="1" applyBorder="1" applyAlignment="1">
      <alignment vertical="center"/>
    </xf>
    <xf numFmtId="164" fontId="7" fillId="0" borderId="5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164" fontId="7" fillId="0" borderId="10" xfId="0" applyNumberFormat="1" applyFont="1" applyBorder="1" applyAlignment="1">
      <alignment vertical="center"/>
    </xf>
    <xf numFmtId="0" fontId="8" fillId="0" borderId="15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9" fillId="10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9" borderId="1" xfId="0" applyFont="1" applyFill="1" applyBorder="1"/>
    <xf numFmtId="0" fontId="3" fillId="9" borderId="2" xfId="0" applyFont="1" applyFill="1" applyBorder="1"/>
    <xf numFmtId="0" fontId="3" fillId="9" borderId="3" xfId="0" applyFont="1" applyFill="1" applyBorder="1"/>
    <xf numFmtId="0" fontId="4" fillId="5" borderId="0" xfId="0" applyFont="1" applyFill="1" applyAlignment="1">
      <alignment wrapText="1"/>
    </xf>
    <xf numFmtId="0" fontId="5" fillId="8" borderId="0" xfId="0" applyFont="1" applyFill="1" applyAlignment="1">
      <alignment horizontal="center" vertical="center" wrapText="1"/>
    </xf>
    <xf numFmtId="0" fontId="0" fillId="7" borderId="4" xfId="0" applyFill="1" applyBorder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0" fillId="7" borderId="6" xfId="0" applyFill="1" applyBorder="1" applyAlignment="1">
      <alignment vertical="top" wrapText="1"/>
    </xf>
    <xf numFmtId="0" fontId="0" fillId="7" borderId="7" xfId="0" applyFill="1" applyBorder="1" applyAlignment="1">
      <alignment vertical="top" wrapText="1"/>
    </xf>
    <xf numFmtId="0" fontId="0" fillId="7" borderId="0" xfId="0" applyFill="1" applyAlignment="1">
      <alignment vertical="top" wrapText="1"/>
    </xf>
    <xf numFmtId="0" fontId="0" fillId="7" borderId="8" xfId="0" applyFill="1" applyBorder="1" applyAlignment="1">
      <alignment vertical="top" wrapText="1"/>
    </xf>
    <xf numFmtId="0" fontId="0" fillId="7" borderId="9" xfId="0" applyFill="1" applyBorder="1" applyAlignment="1">
      <alignment vertical="top" wrapText="1"/>
    </xf>
    <xf numFmtId="0" fontId="0" fillId="7" borderId="10" xfId="0" applyFill="1" applyBorder="1" applyAlignment="1">
      <alignment vertical="top" wrapText="1"/>
    </xf>
    <xf numFmtId="0" fontId="0" fillId="7" borderId="11" xfId="0" applyFill="1" applyBorder="1" applyAlignment="1">
      <alignment vertical="top" wrapText="1"/>
    </xf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</cellXfs>
  <cellStyles count="1">
    <cellStyle name="Normal" xfId="0" builtinId="0"/>
  </cellStyles>
  <dxfs count="18">
    <dxf>
      <font>
        <color rgb="FF6B7280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color rgb="FF6B7280"/>
      </font>
      <fill>
        <patternFill patternType="solid">
          <bgColor rgb="FFE5E7EB"/>
        </patternFill>
      </fill>
    </dxf>
    <dxf>
      <font>
        <color rgb="FF6B7280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color rgb="FF6B7280"/>
      </font>
      <fill>
        <patternFill patternType="solid">
          <bgColor rgb="FFE5E7EB"/>
        </patternFill>
      </fill>
    </dxf>
    <dxf>
      <font>
        <color rgb="FF6B7280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color rgb="FF6B7280"/>
      </font>
      <fill>
        <patternFill patternType="solid">
          <bgColor rgb="FFE5E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df25f59db4e341bb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H1"/>
    </sheetView>
  </sheetViews>
  <sheetFormatPr defaultRowHeight="13.8"/>
  <cols>
    <col min="1" max="1" width="24" customWidth="1"/>
    <col min="2" max="3" width="13" customWidth="1"/>
    <col min="4" max="4" width="12" customWidth="1"/>
    <col min="5" max="5" width="3" customWidth="1"/>
    <col min="6" max="8" width="20" customWidth="1"/>
  </cols>
  <sheetData>
    <row r="1" spans="1:8" ht="28.8" customHeight="1">
      <c r="A1" s="42" t="s">
        <v>0</v>
      </c>
      <c r="B1" s="42"/>
      <c r="C1" s="42"/>
      <c r="D1" s="42"/>
      <c r="E1" s="42"/>
      <c r="F1" s="42"/>
      <c r="G1" s="42"/>
      <c r="H1" s="42"/>
    </row>
    <row r="3" spans="1:8" ht="15.6">
      <c r="A3" s="1" t="s">
        <v>1</v>
      </c>
      <c r="B3" s="43" t="s">
        <v>2</v>
      </c>
      <c r="C3" s="44"/>
      <c r="D3" s="45"/>
    </row>
    <row r="5" spans="1:8" ht="27.15" customHeight="1">
      <c r="A5" s="46" t="s">
        <v>3</v>
      </c>
      <c r="B5" s="46"/>
      <c r="C5" s="46"/>
      <c r="D5" s="46"/>
      <c r="E5" s="46"/>
      <c r="F5" s="46"/>
      <c r="G5" s="46"/>
      <c r="H5" s="46"/>
    </row>
    <row r="7" spans="1:8">
      <c r="A7" s="2" t="s">
        <v>4</v>
      </c>
      <c r="B7" s="2" t="s">
        <v>5</v>
      </c>
      <c r="C7" s="2" t="s">
        <v>6</v>
      </c>
      <c r="D7" s="2" t="s">
        <v>7</v>
      </c>
      <c r="F7" s="47" t="s">
        <v>8</v>
      </c>
      <c r="G7" s="47"/>
      <c r="H7" s="47"/>
    </row>
    <row r="8" spans="1:8">
      <c r="A8" s="4" t="s">
        <v>9</v>
      </c>
      <c r="B8" s="35">
        <f>IF(_logic_p0!BA5="",0,_logic_p0!BA5)</f>
        <v>0</v>
      </c>
      <c r="C8" s="29">
        <f>_logic_p0!BA4</f>
        <v>380</v>
      </c>
      <c r="D8" s="32">
        <f t="shared" ref="D8:D14" si="0">IF(C8=0,0,B8/C8)</f>
        <v>0</v>
      </c>
      <c r="F8" s="48" t="s">
        <v>10</v>
      </c>
      <c r="G8" s="49"/>
      <c r="H8" s="50"/>
    </row>
    <row r="9" spans="1:8">
      <c r="A9" s="5" t="s">
        <v>11</v>
      </c>
      <c r="B9" s="36">
        <f>_logic_p1!EE5</f>
        <v>0</v>
      </c>
      <c r="C9" s="30">
        <f>_logic_p1!EE4</f>
        <v>5495</v>
      </c>
      <c r="D9" s="33">
        <f t="shared" si="0"/>
        <v>0</v>
      </c>
      <c r="F9" s="51"/>
      <c r="G9" s="52"/>
      <c r="H9" s="53"/>
    </row>
    <row r="10" spans="1:8">
      <c r="A10" s="5" t="s">
        <v>12</v>
      </c>
      <c r="B10" s="36">
        <f>_logic_p1!EF5</f>
        <v>0</v>
      </c>
      <c r="C10" s="30">
        <f>_logic_p1!EF4</f>
        <v>60</v>
      </c>
      <c r="D10" s="33">
        <f t="shared" si="0"/>
        <v>0</v>
      </c>
      <c r="F10" s="51"/>
      <c r="G10" s="52"/>
      <c r="H10" s="53"/>
    </row>
    <row r="11" spans="1:8">
      <c r="A11" s="5" t="s">
        <v>13</v>
      </c>
      <c r="B11" s="36">
        <f>_logic_p2!IF5</f>
        <v>3740</v>
      </c>
      <c r="C11" s="30">
        <f>_logic_p2!IF4</f>
        <v>4045</v>
      </c>
      <c r="D11" s="33">
        <f t="shared" si="0"/>
        <v>0.92459826946847956</v>
      </c>
      <c r="F11" s="51"/>
      <c r="G11" s="52"/>
      <c r="H11" s="53"/>
    </row>
    <row r="12" spans="1:8">
      <c r="A12" s="5" t="s">
        <v>14</v>
      </c>
      <c r="B12" s="36">
        <f>_logic_p2!IG5</f>
        <v>365</v>
      </c>
      <c r="C12" s="30">
        <f>_logic_p2!IG4</f>
        <v>2425</v>
      </c>
      <c r="D12" s="33">
        <f t="shared" si="0"/>
        <v>0.15051546391752577</v>
      </c>
      <c r="F12" s="51"/>
      <c r="G12" s="52"/>
      <c r="H12" s="53"/>
    </row>
    <row r="13" spans="1:8">
      <c r="A13" s="5" t="s">
        <v>15</v>
      </c>
      <c r="B13" s="36">
        <f>_logic_p2!IH5</f>
        <v>4045</v>
      </c>
      <c r="C13" s="30">
        <f>_logic_p2!IH4</f>
        <v>4045</v>
      </c>
      <c r="D13" s="33">
        <f t="shared" si="0"/>
        <v>1</v>
      </c>
      <c r="F13" s="51"/>
      <c r="G13" s="52"/>
      <c r="H13" s="53"/>
    </row>
    <row r="14" spans="1:8">
      <c r="A14" s="6" t="s">
        <v>16</v>
      </c>
      <c r="B14" s="37">
        <f>_logic_p2!II5</f>
        <v>20</v>
      </c>
      <c r="C14" s="31">
        <f>_logic_p2!II4</f>
        <v>835</v>
      </c>
      <c r="D14" s="34">
        <f t="shared" si="0"/>
        <v>2.3952095808383235E-2</v>
      </c>
      <c r="F14" s="54"/>
      <c r="G14" s="55"/>
      <c r="H14" s="56"/>
    </row>
    <row r="16" spans="1:8" ht="14.4">
      <c r="A16" s="41" t="s">
        <v>17</v>
      </c>
      <c r="B16" s="41"/>
      <c r="C16" s="41"/>
      <c r="D16" s="41"/>
      <c r="E16" s="41"/>
      <c r="F16" s="41"/>
      <c r="G16" s="41"/>
      <c r="H16" s="41"/>
    </row>
  </sheetData>
  <mergeCells count="6">
    <mergeCell ref="A16:H16"/>
    <mergeCell ref="A1:H1"/>
    <mergeCell ref="B3:D3"/>
    <mergeCell ref="A5:H5"/>
    <mergeCell ref="F7:H7"/>
    <mergeCell ref="F8:H14"/>
  </mergeCells>
  <conditionalFormatting sqref="D8:D14">
    <cfRule type="dataBar" priority="1">
      <dataBar>
        <cfvo type="min"/>
        <cfvo type="max"/>
        <color rgb="FF156082"/>
      </dataBar>
    </cfRule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D8:D14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"/>
  <sheetViews>
    <sheetView workbookViewId="0"/>
  </sheetViews>
  <sheetFormatPr defaultRowHeight="13.8"/>
  <cols>
    <col min="1" max="1" width="22" customWidth="1"/>
    <col min="2" max="2" width="30" customWidth="1"/>
    <col min="3" max="3" width="36" customWidth="1"/>
    <col min="4" max="4" width="10" customWidth="1"/>
    <col min="5" max="5" width="9" customWidth="1"/>
    <col min="6" max="6" width="13" customWidth="1"/>
    <col min="7" max="8" width="11" customWidth="1"/>
    <col min="9" max="9" width="42" customWidth="1"/>
    <col min="10" max="10" width="24" customWidth="1"/>
    <col min="11" max="11" width="10" customWidth="1"/>
  </cols>
  <sheetData>
    <row r="1" spans="1:11" ht="25.65" customHeight="1">
      <c r="A1" s="42" t="s">
        <v>18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3" spans="1:11" ht="15.6">
      <c r="A3" s="1" t="s">
        <v>1</v>
      </c>
      <c r="B3" s="57" t="str">
        <f>Dashboard!$B$3</f>
        <v>My Team</v>
      </c>
      <c r="C3" s="58"/>
      <c r="D3" s="59"/>
    </row>
    <row r="5" spans="1:11" ht="22.35" customHeight="1">
      <c r="A5" s="46" t="s">
        <v>19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>
      <c r="A7" s="60" t="s">
        <v>20</v>
      </c>
      <c r="B7" s="60"/>
    </row>
    <row r="8" spans="1:11" ht="17.399999999999999">
      <c r="A8" s="61" t="str">
        <f>IF(_logic_p0!BA5="",0,_logic_p0!BA5)&amp;" / "&amp;_logic_p0!BA4</f>
        <v>0 / 380</v>
      </c>
      <c r="B8" s="61"/>
    </row>
    <row r="10" spans="1:11" ht="24" customHeight="1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31</v>
      </c>
    </row>
    <row r="11" spans="1:11">
      <c r="A11" s="7" t="s">
        <v>32</v>
      </c>
      <c r="B11" s="8" t="s">
        <v>33</v>
      </c>
      <c r="C11" s="8" t="s">
        <v>33</v>
      </c>
      <c r="D11" s="13">
        <v>5</v>
      </c>
      <c r="E11" s="16" t="b">
        <v>0</v>
      </c>
      <c r="F11" s="19"/>
      <c r="G11" s="22">
        <f t="shared" ref="G11:G42" si="0">IF(E11,D11,IF(F11="",0,MIN(MAX(F11,0),D11)))</f>
        <v>0</v>
      </c>
      <c r="H11" s="13">
        <f t="shared" ref="H11:H42" si="1">MAX(D11-G11,0)</f>
        <v>5</v>
      </c>
      <c r="I11" s="8" t="str">
        <f t="shared" ref="I11:I42" si="2">IF(D11=0,"No points attached",IF(G11=D11,"Done",IF(G11=0,"Do: "&amp;C11,"Finish: "&amp;C11&amp;" ("&amp;TEXT(H11,"0.##")&amp;" pts left)")))</f>
        <v>Do: اضافه شدن اعضا به تیم در گیت‌‌هاب یا هم‌گیت</v>
      </c>
      <c r="J11" s="38" t="s">
        <v>34</v>
      </c>
      <c r="K11" s="25" t="s">
        <v>35</v>
      </c>
    </row>
    <row r="12" spans="1:11">
      <c r="A12" s="9" t="s">
        <v>32</v>
      </c>
      <c r="B12" s="10" t="s">
        <v>36</v>
      </c>
      <c r="C12" s="10" t="s">
        <v>36</v>
      </c>
      <c r="D12" s="14">
        <v>5</v>
      </c>
      <c r="E12" s="17" t="b">
        <v>0</v>
      </c>
      <c r="F12" s="20"/>
      <c r="G12" s="23">
        <f t="shared" si="0"/>
        <v>0</v>
      </c>
      <c r="H12" s="14">
        <f t="shared" si="1"/>
        <v>5</v>
      </c>
      <c r="I12" s="10" t="str">
        <f t="shared" si="2"/>
        <v>Do: کامیت نام و شماره دانشجویی اعضا</v>
      </c>
      <c r="J12" s="39" t="s">
        <v>34</v>
      </c>
      <c r="K12" s="26" t="s">
        <v>37</v>
      </c>
    </row>
    <row r="13" spans="1:11">
      <c r="A13" s="9" t="s">
        <v>38</v>
      </c>
      <c r="B13" s="10" t="s">
        <v>39</v>
      </c>
      <c r="C13" s="10" t="s">
        <v>40</v>
      </c>
      <c r="D13" s="14">
        <v>5</v>
      </c>
      <c r="E13" s="17" t="b">
        <v>0</v>
      </c>
      <c r="F13" s="20"/>
      <c r="G13" s="23">
        <f t="shared" si="0"/>
        <v>0</v>
      </c>
      <c r="H13" s="14">
        <f t="shared" si="1"/>
        <v>5</v>
      </c>
      <c r="I13" s="10" t="str">
        <f t="shared" si="2"/>
        <v>Do: نام کاربری</v>
      </c>
      <c r="J13" s="39" t="s">
        <v>34</v>
      </c>
      <c r="K13" s="26" t="s">
        <v>41</v>
      </c>
    </row>
    <row r="14" spans="1:11">
      <c r="A14" s="9" t="s">
        <v>38</v>
      </c>
      <c r="B14" s="10" t="s">
        <v>39</v>
      </c>
      <c r="C14" s="10" t="s">
        <v>42</v>
      </c>
      <c r="D14" s="14">
        <v>5</v>
      </c>
      <c r="E14" s="17" t="b">
        <v>0</v>
      </c>
      <c r="F14" s="20"/>
      <c r="G14" s="23">
        <f t="shared" si="0"/>
        <v>0</v>
      </c>
      <c r="H14" s="14">
        <f t="shared" si="1"/>
        <v>5</v>
      </c>
      <c r="I14" s="10" t="str">
        <f t="shared" si="2"/>
        <v>Do: رمز عبور</v>
      </c>
      <c r="J14" s="39" t="s">
        <v>34</v>
      </c>
      <c r="K14" s="26" t="s">
        <v>43</v>
      </c>
    </row>
    <row r="15" spans="1:11">
      <c r="A15" s="9" t="s">
        <v>38</v>
      </c>
      <c r="B15" s="10" t="s">
        <v>39</v>
      </c>
      <c r="C15" s="10" t="s">
        <v>44</v>
      </c>
      <c r="D15" s="14">
        <v>5</v>
      </c>
      <c r="E15" s="17" t="b">
        <v>0</v>
      </c>
      <c r="F15" s="20"/>
      <c r="G15" s="23">
        <f t="shared" si="0"/>
        <v>0</v>
      </c>
      <c r="H15" s="14">
        <f t="shared" si="1"/>
        <v>5</v>
      </c>
      <c r="I15" s="10" t="str">
        <f t="shared" si="2"/>
        <v>Do: پیشرفت بازی</v>
      </c>
      <c r="J15" s="39" t="s">
        <v>34</v>
      </c>
      <c r="K15" s="26" t="s">
        <v>45</v>
      </c>
    </row>
    <row r="16" spans="1:11">
      <c r="A16" s="9" t="s">
        <v>38</v>
      </c>
      <c r="B16" s="10" t="s">
        <v>46</v>
      </c>
      <c r="C16" s="10" t="s">
        <v>47</v>
      </c>
      <c r="D16" s="14">
        <v>5</v>
      </c>
      <c r="E16" s="17" t="b">
        <v>0</v>
      </c>
      <c r="F16" s="20"/>
      <c r="G16" s="23">
        <f t="shared" si="0"/>
        <v>0</v>
      </c>
      <c r="H16" s="14">
        <f t="shared" si="1"/>
        <v>5</v>
      </c>
      <c r="I16" s="10" t="str">
        <f t="shared" si="2"/>
        <v>Do: منوهای مختلف</v>
      </c>
      <c r="J16" s="39" t="s">
        <v>34</v>
      </c>
      <c r="K16" s="26" t="s">
        <v>48</v>
      </c>
    </row>
    <row r="17" spans="1:11">
      <c r="A17" s="9" t="s">
        <v>38</v>
      </c>
      <c r="B17" s="10" t="s">
        <v>46</v>
      </c>
      <c r="C17" s="10" t="s">
        <v>49</v>
      </c>
      <c r="D17" s="14">
        <v>5</v>
      </c>
      <c r="E17" s="17" t="b">
        <v>0</v>
      </c>
      <c r="F17" s="20"/>
      <c r="G17" s="23">
        <f t="shared" si="0"/>
        <v>0</v>
      </c>
      <c r="H17" s="14">
        <f t="shared" si="1"/>
        <v>5</v>
      </c>
      <c r="I17" s="10" t="str">
        <f t="shared" si="2"/>
        <v>Do: وضعیت فعلی</v>
      </c>
      <c r="J17" s="39" t="s">
        <v>34</v>
      </c>
      <c r="K17" s="26" t="s">
        <v>50</v>
      </c>
    </row>
    <row r="18" spans="1:11">
      <c r="A18" s="9" t="s">
        <v>38</v>
      </c>
      <c r="B18" s="10" t="s">
        <v>46</v>
      </c>
      <c r="C18" s="10" t="s">
        <v>51</v>
      </c>
      <c r="D18" s="14">
        <v>5</v>
      </c>
      <c r="E18" s="17" t="b">
        <v>0</v>
      </c>
      <c r="F18" s="20"/>
      <c r="G18" s="23">
        <f t="shared" si="0"/>
        <v>0</v>
      </c>
      <c r="H18" s="14">
        <f t="shared" si="1"/>
        <v>5</v>
      </c>
      <c r="I18" s="10" t="str">
        <f t="shared" si="2"/>
        <v>Do: تغییر منو</v>
      </c>
      <c r="J18" s="39" t="s">
        <v>34</v>
      </c>
      <c r="K18" s="26" t="s">
        <v>52</v>
      </c>
    </row>
    <row r="19" spans="1:11">
      <c r="A19" s="9" t="s">
        <v>38</v>
      </c>
      <c r="B19" s="10" t="s">
        <v>46</v>
      </c>
      <c r="C19" s="10" t="s">
        <v>53</v>
      </c>
      <c r="D19" s="14">
        <v>5</v>
      </c>
      <c r="E19" s="17" t="b">
        <v>0</v>
      </c>
      <c r="F19" s="20"/>
      <c r="G19" s="23">
        <f t="shared" si="0"/>
        <v>0</v>
      </c>
      <c r="H19" s="14">
        <f t="shared" si="1"/>
        <v>5</v>
      </c>
      <c r="I19" s="10" t="str">
        <f t="shared" si="2"/>
        <v>Do: ورودی کاربر</v>
      </c>
      <c r="J19" s="39" t="s">
        <v>34</v>
      </c>
      <c r="K19" s="26" t="s">
        <v>54</v>
      </c>
    </row>
    <row r="20" spans="1:11">
      <c r="A20" s="9" t="s">
        <v>38</v>
      </c>
      <c r="B20" s="10" t="s">
        <v>55</v>
      </c>
      <c r="C20" s="10" t="s">
        <v>56</v>
      </c>
      <c r="D20" s="14">
        <v>5</v>
      </c>
      <c r="E20" s="17" t="b">
        <v>0</v>
      </c>
      <c r="F20" s="20"/>
      <c r="G20" s="23">
        <f t="shared" si="0"/>
        <v>0</v>
      </c>
      <c r="H20" s="14">
        <f t="shared" si="1"/>
        <v>5</v>
      </c>
      <c r="I20" s="10" t="str">
        <f t="shared" si="2"/>
        <v>Do: میزان خورشید</v>
      </c>
      <c r="J20" s="39" t="s">
        <v>34</v>
      </c>
      <c r="K20" s="26" t="s">
        <v>57</v>
      </c>
    </row>
    <row r="21" spans="1:11">
      <c r="A21" s="9" t="s">
        <v>38</v>
      </c>
      <c r="B21" s="10" t="s">
        <v>55</v>
      </c>
      <c r="C21" s="10" t="s">
        <v>58</v>
      </c>
      <c r="D21" s="14">
        <v>5</v>
      </c>
      <c r="E21" s="17" t="b">
        <v>0</v>
      </c>
      <c r="F21" s="20"/>
      <c r="G21" s="23">
        <f t="shared" si="0"/>
        <v>0</v>
      </c>
      <c r="H21" s="14">
        <f t="shared" si="1"/>
        <v>5</v>
      </c>
      <c r="I21" s="10" t="str">
        <f t="shared" si="2"/>
        <v>Do: وضعیت بازی</v>
      </c>
      <c r="J21" s="39" t="s">
        <v>34</v>
      </c>
      <c r="K21" s="26" t="s">
        <v>59</v>
      </c>
    </row>
    <row r="22" spans="1:11">
      <c r="A22" s="9" t="s">
        <v>38</v>
      </c>
      <c r="B22" s="10" t="s">
        <v>60</v>
      </c>
      <c r="C22" s="10" t="s">
        <v>61</v>
      </c>
      <c r="D22" s="14">
        <v>5</v>
      </c>
      <c r="E22" s="17" t="b">
        <v>0</v>
      </c>
      <c r="F22" s="20"/>
      <c r="G22" s="23">
        <f t="shared" si="0"/>
        <v>0</v>
      </c>
      <c r="H22" s="14">
        <f t="shared" si="1"/>
        <v>5</v>
      </c>
      <c r="I22" s="10" t="str">
        <f t="shared" si="2"/>
        <v>Do: قوانین اختصاصی</v>
      </c>
      <c r="J22" s="39" t="s">
        <v>34</v>
      </c>
      <c r="K22" s="26" t="s">
        <v>62</v>
      </c>
    </row>
    <row r="23" spans="1:11">
      <c r="A23" s="9" t="s">
        <v>38</v>
      </c>
      <c r="B23" s="10" t="s">
        <v>60</v>
      </c>
      <c r="C23" s="10" t="s">
        <v>63</v>
      </c>
      <c r="D23" s="14">
        <v>5</v>
      </c>
      <c r="E23" s="17" t="b">
        <v>0</v>
      </c>
      <c r="F23" s="20"/>
      <c r="G23" s="23">
        <f t="shared" si="0"/>
        <v>0</v>
      </c>
      <c r="H23" s="14">
        <f t="shared" si="1"/>
        <v>5</v>
      </c>
      <c r="I23" s="10" t="str">
        <f t="shared" si="2"/>
        <v>Do: انواع مختلف</v>
      </c>
      <c r="J23" s="39" t="s">
        <v>34</v>
      </c>
      <c r="K23" s="26" t="s">
        <v>64</v>
      </c>
    </row>
    <row r="24" spans="1:11">
      <c r="A24" s="9" t="s">
        <v>38</v>
      </c>
      <c r="B24" s="10" t="s">
        <v>65</v>
      </c>
      <c r="C24" s="10" t="s">
        <v>66</v>
      </c>
      <c r="D24" s="14">
        <v>5</v>
      </c>
      <c r="E24" s="17" t="b">
        <v>0</v>
      </c>
      <c r="F24" s="20"/>
      <c r="G24" s="23">
        <f t="shared" si="0"/>
        <v>0</v>
      </c>
      <c r="H24" s="14">
        <f t="shared" si="1"/>
        <v>5</v>
      </c>
      <c r="I24" s="10" t="str">
        <f t="shared" si="2"/>
        <v>Do: نقشه مسیر</v>
      </c>
      <c r="J24" s="39" t="s">
        <v>34</v>
      </c>
      <c r="K24" s="26" t="s">
        <v>67</v>
      </c>
    </row>
    <row r="25" spans="1:11">
      <c r="A25" s="9" t="s">
        <v>38</v>
      </c>
      <c r="B25" s="10" t="s">
        <v>65</v>
      </c>
      <c r="C25" s="10" t="s">
        <v>68</v>
      </c>
      <c r="D25" s="14">
        <v>5</v>
      </c>
      <c r="E25" s="17" t="b">
        <v>0</v>
      </c>
      <c r="F25" s="20"/>
      <c r="G25" s="23">
        <f t="shared" si="0"/>
        <v>0</v>
      </c>
      <c r="H25" s="14">
        <f t="shared" si="1"/>
        <v>5</v>
      </c>
      <c r="I25" s="10" t="str">
        <f t="shared" si="2"/>
        <v>Do: ویژگی‌های خاص</v>
      </c>
      <c r="J25" s="39" t="s">
        <v>34</v>
      </c>
      <c r="K25" s="26" t="s">
        <v>69</v>
      </c>
    </row>
    <row r="26" spans="1:11">
      <c r="A26" s="9" t="s">
        <v>38</v>
      </c>
      <c r="B26" s="10" t="s">
        <v>70</v>
      </c>
      <c r="C26" s="10" t="s">
        <v>71</v>
      </c>
      <c r="D26" s="14">
        <v>5</v>
      </c>
      <c r="E26" s="17" t="b">
        <v>0</v>
      </c>
      <c r="F26" s="20"/>
      <c r="G26" s="23">
        <f t="shared" si="0"/>
        <v>0</v>
      </c>
      <c r="H26" s="14">
        <f t="shared" si="1"/>
        <v>5</v>
      </c>
      <c r="I26" s="10" t="str">
        <f t="shared" si="2"/>
        <v>Do: لیست زامبی‌ها</v>
      </c>
      <c r="J26" s="39" t="s">
        <v>34</v>
      </c>
      <c r="K26" s="26" t="s">
        <v>72</v>
      </c>
    </row>
    <row r="27" spans="1:11">
      <c r="A27" s="9" t="s">
        <v>38</v>
      </c>
      <c r="B27" s="10" t="s">
        <v>70</v>
      </c>
      <c r="C27" s="10" t="s">
        <v>73</v>
      </c>
      <c r="D27" s="14">
        <v>5</v>
      </c>
      <c r="E27" s="17" t="b">
        <v>0</v>
      </c>
      <c r="F27" s="20"/>
      <c r="G27" s="23">
        <f t="shared" si="0"/>
        <v>0</v>
      </c>
      <c r="H27" s="14">
        <f t="shared" si="1"/>
        <v>5</v>
      </c>
      <c r="I27" s="10" t="str">
        <f t="shared" si="2"/>
        <v>Do: شماره موج</v>
      </c>
      <c r="J27" s="39" t="s">
        <v>34</v>
      </c>
      <c r="K27" s="26" t="s">
        <v>74</v>
      </c>
    </row>
    <row r="28" spans="1:11">
      <c r="A28" s="9" t="s">
        <v>38</v>
      </c>
      <c r="B28" s="10" t="s">
        <v>70</v>
      </c>
      <c r="C28" s="10" t="s">
        <v>75</v>
      </c>
      <c r="D28" s="14">
        <v>5</v>
      </c>
      <c r="E28" s="17" t="b">
        <v>0</v>
      </c>
      <c r="F28" s="20"/>
      <c r="G28" s="23">
        <f t="shared" si="0"/>
        <v>0</v>
      </c>
      <c r="H28" s="14">
        <f t="shared" si="1"/>
        <v>5</v>
      </c>
      <c r="I28" s="10" t="str">
        <f t="shared" si="2"/>
        <v>Do: تأخیر</v>
      </c>
      <c r="J28" s="39" t="s">
        <v>34</v>
      </c>
      <c r="K28" s="26" t="s">
        <v>76</v>
      </c>
    </row>
    <row r="29" spans="1:11">
      <c r="A29" s="9" t="s">
        <v>38</v>
      </c>
      <c r="B29" s="10" t="s">
        <v>77</v>
      </c>
      <c r="C29" s="10" t="s">
        <v>78</v>
      </c>
      <c r="D29" s="14">
        <v>20</v>
      </c>
      <c r="E29" s="17" t="b">
        <v>0</v>
      </c>
      <c r="F29" s="20"/>
      <c r="G29" s="23">
        <f t="shared" si="0"/>
        <v>0</v>
      </c>
      <c r="H29" s="14">
        <f t="shared" si="1"/>
        <v>20</v>
      </c>
      <c r="I29" s="10" t="str">
        <f t="shared" si="2"/>
        <v>Do: نوع</v>
      </c>
      <c r="J29" s="39" t="s">
        <v>34</v>
      </c>
      <c r="K29" s="26" t="s">
        <v>79</v>
      </c>
    </row>
    <row r="30" spans="1:11">
      <c r="A30" s="9" t="s">
        <v>38</v>
      </c>
      <c r="B30" s="10" t="s">
        <v>77</v>
      </c>
      <c r="C30" s="10" t="s">
        <v>80</v>
      </c>
      <c r="D30" s="14">
        <v>5</v>
      </c>
      <c r="E30" s="17" t="b">
        <v>0</v>
      </c>
      <c r="F30" s="20"/>
      <c r="G30" s="23">
        <f t="shared" si="0"/>
        <v>0</v>
      </c>
      <c r="H30" s="14">
        <f t="shared" si="1"/>
        <v>5</v>
      </c>
      <c r="I30" s="10" t="str">
        <f t="shared" si="2"/>
        <v>Do: جان گیاه</v>
      </c>
      <c r="J30" s="39" t="s">
        <v>34</v>
      </c>
      <c r="K30" s="26" t="s">
        <v>81</v>
      </c>
    </row>
    <row r="31" spans="1:11">
      <c r="A31" s="9" t="s">
        <v>38</v>
      </c>
      <c r="B31" s="10" t="s">
        <v>77</v>
      </c>
      <c r="C31" s="10" t="s">
        <v>82</v>
      </c>
      <c r="D31" s="14">
        <v>5</v>
      </c>
      <c r="E31" s="17" t="b">
        <v>0</v>
      </c>
      <c r="F31" s="20"/>
      <c r="G31" s="23">
        <f t="shared" si="0"/>
        <v>0</v>
      </c>
      <c r="H31" s="14">
        <f t="shared" si="1"/>
        <v>5</v>
      </c>
      <c r="I31" s="10" t="str">
        <f t="shared" si="2"/>
        <v>Do: هزینه خورشید</v>
      </c>
      <c r="J31" s="39" t="s">
        <v>34</v>
      </c>
      <c r="K31" s="26" t="s">
        <v>83</v>
      </c>
    </row>
    <row r="32" spans="1:11">
      <c r="A32" s="9" t="s">
        <v>38</v>
      </c>
      <c r="B32" s="10" t="s">
        <v>77</v>
      </c>
      <c r="C32" s="10" t="s">
        <v>84</v>
      </c>
      <c r="D32" s="14">
        <v>5</v>
      </c>
      <c r="E32" s="17" t="b">
        <v>0</v>
      </c>
      <c r="F32" s="20"/>
      <c r="G32" s="23">
        <f t="shared" si="0"/>
        <v>0</v>
      </c>
      <c r="H32" s="14">
        <f t="shared" si="1"/>
        <v>5</v>
      </c>
      <c r="I32" s="10" t="str">
        <f t="shared" si="2"/>
        <v>Do: موقعیت</v>
      </c>
      <c r="J32" s="39" t="s">
        <v>34</v>
      </c>
      <c r="K32" s="26" t="s">
        <v>85</v>
      </c>
    </row>
    <row r="33" spans="1:11">
      <c r="A33" s="9" t="s">
        <v>38</v>
      </c>
      <c r="B33" s="10" t="s">
        <v>77</v>
      </c>
      <c r="C33" s="10" t="s">
        <v>86</v>
      </c>
      <c r="D33" s="14">
        <v>5</v>
      </c>
      <c r="E33" s="17" t="b">
        <v>0</v>
      </c>
      <c r="F33" s="20"/>
      <c r="G33" s="23">
        <f t="shared" si="0"/>
        <v>0</v>
      </c>
      <c r="H33" s="14">
        <f t="shared" si="1"/>
        <v>5</v>
      </c>
      <c r="I33" s="10" t="str">
        <f t="shared" si="2"/>
        <v>Do: قدرت حمله</v>
      </c>
      <c r="J33" s="39" t="s">
        <v>34</v>
      </c>
      <c r="K33" s="26" t="s">
        <v>87</v>
      </c>
    </row>
    <row r="34" spans="1:11">
      <c r="A34" s="9" t="s">
        <v>38</v>
      </c>
      <c r="B34" s="10" t="s">
        <v>88</v>
      </c>
      <c r="C34" s="10" t="s">
        <v>89</v>
      </c>
      <c r="D34" s="14">
        <v>5</v>
      </c>
      <c r="E34" s="17" t="b">
        <v>0</v>
      </c>
      <c r="F34" s="20"/>
      <c r="G34" s="23">
        <f t="shared" si="0"/>
        <v>0</v>
      </c>
      <c r="H34" s="14">
        <f t="shared" si="1"/>
        <v>5</v>
      </c>
      <c r="I34" s="10" t="str">
        <f t="shared" si="2"/>
        <v>Do: جان زامبی</v>
      </c>
      <c r="J34" s="39" t="s">
        <v>34</v>
      </c>
      <c r="K34" s="26" t="s">
        <v>90</v>
      </c>
    </row>
    <row r="35" spans="1:11">
      <c r="A35" s="9" t="s">
        <v>38</v>
      </c>
      <c r="B35" s="10" t="s">
        <v>88</v>
      </c>
      <c r="C35" s="10" t="s">
        <v>91</v>
      </c>
      <c r="D35" s="14">
        <v>5</v>
      </c>
      <c r="E35" s="17" t="b">
        <v>0</v>
      </c>
      <c r="F35" s="20"/>
      <c r="G35" s="23">
        <f t="shared" si="0"/>
        <v>0</v>
      </c>
      <c r="H35" s="14">
        <f t="shared" si="1"/>
        <v>5</v>
      </c>
      <c r="I35" s="10" t="str">
        <f t="shared" si="2"/>
        <v>Do: سرعت حرکت</v>
      </c>
      <c r="J35" s="39" t="s">
        <v>34</v>
      </c>
      <c r="K35" s="26" t="s">
        <v>92</v>
      </c>
    </row>
    <row r="36" spans="1:11">
      <c r="A36" s="9" t="s">
        <v>38</v>
      </c>
      <c r="B36" s="10" t="s">
        <v>88</v>
      </c>
      <c r="C36" s="10" t="s">
        <v>93</v>
      </c>
      <c r="D36" s="14">
        <v>5</v>
      </c>
      <c r="E36" s="17" t="b">
        <v>0</v>
      </c>
      <c r="F36" s="20"/>
      <c r="G36" s="23">
        <f t="shared" si="0"/>
        <v>0</v>
      </c>
      <c r="H36" s="14">
        <f t="shared" si="1"/>
        <v>5</v>
      </c>
      <c r="I36" s="10" t="str">
        <f t="shared" si="2"/>
        <v>Do: آسیب به گیاه</v>
      </c>
      <c r="J36" s="39" t="s">
        <v>34</v>
      </c>
      <c r="K36" s="26" t="s">
        <v>94</v>
      </c>
    </row>
    <row r="37" spans="1:11">
      <c r="A37" s="9" t="s">
        <v>38</v>
      </c>
      <c r="B37" s="10" t="s">
        <v>88</v>
      </c>
      <c r="C37" s="10" t="s">
        <v>95</v>
      </c>
      <c r="D37" s="14">
        <v>20</v>
      </c>
      <c r="E37" s="17" t="b">
        <v>0</v>
      </c>
      <c r="F37" s="20"/>
      <c r="G37" s="23">
        <f t="shared" si="0"/>
        <v>0</v>
      </c>
      <c r="H37" s="14">
        <f t="shared" si="1"/>
        <v>20</v>
      </c>
      <c r="I37" s="10" t="str">
        <f t="shared" si="2"/>
        <v>Do: قابلیت‌ها</v>
      </c>
      <c r="J37" s="39" t="s">
        <v>34</v>
      </c>
      <c r="K37" s="26" t="s">
        <v>96</v>
      </c>
    </row>
    <row r="38" spans="1:11">
      <c r="A38" s="9" t="s">
        <v>38</v>
      </c>
      <c r="B38" s="10" t="s">
        <v>97</v>
      </c>
      <c r="C38" s="10" t="s">
        <v>98</v>
      </c>
      <c r="D38" s="14">
        <v>5</v>
      </c>
      <c r="E38" s="17" t="b">
        <v>0</v>
      </c>
      <c r="F38" s="20"/>
      <c r="G38" s="23">
        <f t="shared" si="0"/>
        <v>0</v>
      </c>
      <c r="H38" s="14">
        <f t="shared" si="1"/>
        <v>5</v>
      </c>
      <c r="I38" s="10" t="str">
        <f t="shared" si="2"/>
        <v>Do: مقدار خورشید</v>
      </c>
      <c r="J38" s="39" t="s">
        <v>34</v>
      </c>
      <c r="K38" s="26" t="s">
        <v>99</v>
      </c>
    </row>
    <row r="39" spans="1:11">
      <c r="A39" s="9" t="s">
        <v>38</v>
      </c>
      <c r="B39" s="10" t="s">
        <v>97</v>
      </c>
      <c r="C39" s="10" t="s">
        <v>100</v>
      </c>
      <c r="D39" s="14">
        <v>5</v>
      </c>
      <c r="E39" s="17" t="b">
        <v>0</v>
      </c>
      <c r="F39" s="20"/>
      <c r="G39" s="23">
        <f t="shared" si="0"/>
        <v>0</v>
      </c>
      <c r="H39" s="14">
        <f t="shared" si="1"/>
        <v>5</v>
      </c>
      <c r="I39" s="10" t="str">
        <f t="shared" si="2"/>
        <v>Do: موقعیت زمین</v>
      </c>
      <c r="J39" s="39" t="s">
        <v>34</v>
      </c>
      <c r="K39" s="26" t="s">
        <v>101</v>
      </c>
    </row>
    <row r="40" spans="1:11">
      <c r="A40" s="9" t="s">
        <v>38</v>
      </c>
      <c r="B40" s="10" t="s">
        <v>97</v>
      </c>
      <c r="C40" s="10" t="s">
        <v>102</v>
      </c>
      <c r="D40" s="14">
        <v>5</v>
      </c>
      <c r="E40" s="17" t="b">
        <v>0</v>
      </c>
      <c r="F40" s="20"/>
      <c r="G40" s="23">
        <f t="shared" si="0"/>
        <v>0</v>
      </c>
      <c r="H40" s="14">
        <f t="shared" si="1"/>
        <v>5</v>
      </c>
      <c r="I40" s="10" t="str">
        <f t="shared" si="2"/>
        <v>Do: زمان باقی‌مانده</v>
      </c>
      <c r="J40" s="39" t="s">
        <v>34</v>
      </c>
      <c r="K40" s="26" t="s">
        <v>103</v>
      </c>
    </row>
    <row r="41" spans="1:11">
      <c r="A41" s="9" t="s">
        <v>38</v>
      </c>
      <c r="B41" s="10" t="s">
        <v>104</v>
      </c>
      <c r="C41" s="10" t="s">
        <v>105</v>
      </c>
      <c r="D41" s="14">
        <v>5</v>
      </c>
      <c r="E41" s="17" t="b">
        <v>0</v>
      </c>
      <c r="F41" s="20"/>
      <c r="G41" s="23">
        <f t="shared" si="0"/>
        <v>0</v>
      </c>
      <c r="H41" s="14">
        <f t="shared" si="1"/>
        <v>5</v>
      </c>
      <c r="I41" s="10" t="str">
        <f t="shared" si="2"/>
        <v>Do: ردیف مربوط</v>
      </c>
      <c r="J41" s="39" t="s">
        <v>34</v>
      </c>
      <c r="K41" s="26" t="s">
        <v>106</v>
      </c>
    </row>
    <row r="42" spans="1:11">
      <c r="A42" s="9" t="s">
        <v>38</v>
      </c>
      <c r="B42" s="10" t="s">
        <v>104</v>
      </c>
      <c r="C42" s="10" t="s">
        <v>107</v>
      </c>
      <c r="D42" s="14">
        <v>5</v>
      </c>
      <c r="E42" s="17" t="b">
        <v>0</v>
      </c>
      <c r="F42" s="20"/>
      <c r="G42" s="23">
        <f t="shared" si="0"/>
        <v>0</v>
      </c>
      <c r="H42" s="14">
        <f t="shared" si="1"/>
        <v>5</v>
      </c>
      <c r="I42" s="10" t="str">
        <f t="shared" si="2"/>
        <v>Do: فعال شده؟</v>
      </c>
      <c r="J42" s="39" t="s">
        <v>34</v>
      </c>
      <c r="K42" s="26" t="s">
        <v>108</v>
      </c>
    </row>
    <row r="43" spans="1:11">
      <c r="A43" s="9" t="s">
        <v>38</v>
      </c>
      <c r="B43" s="10" t="s">
        <v>104</v>
      </c>
      <c r="C43" s="10" t="s">
        <v>109</v>
      </c>
      <c r="D43" s="14">
        <v>5</v>
      </c>
      <c r="E43" s="17" t="b">
        <v>0</v>
      </c>
      <c r="F43" s="20"/>
      <c r="G43" s="23">
        <f t="shared" ref="G43:G61" si="3">IF(E43,D43,IF(F43="",0,MIN(MAX(F43,0),D43)))</f>
        <v>0</v>
      </c>
      <c r="H43" s="14">
        <f t="shared" ref="H43:H61" si="4">MAX(D43-G43,0)</f>
        <v>5</v>
      </c>
      <c r="I43" s="10" t="str">
        <f t="shared" ref="I43:I61" si="5">IF(D43=0,"No points attached",IF(G43=D43,"Done",IF(G43=0,"Do: "&amp;C43,"Finish: "&amp;C43&amp;" ("&amp;TEXT(H43,"0.##")&amp;" pts left)")))</f>
        <v>Do: نابودی زامبی‌ها</v>
      </c>
      <c r="J43" s="39" t="s">
        <v>34</v>
      </c>
      <c r="K43" s="26" t="s">
        <v>110</v>
      </c>
    </row>
    <row r="44" spans="1:11">
      <c r="A44" s="9" t="s">
        <v>38</v>
      </c>
      <c r="B44" s="10" t="s">
        <v>111</v>
      </c>
      <c r="C44" s="10" t="s">
        <v>112</v>
      </c>
      <c r="D44" s="14">
        <v>5</v>
      </c>
      <c r="E44" s="17" t="b">
        <v>0</v>
      </c>
      <c r="F44" s="20"/>
      <c r="G44" s="23">
        <f t="shared" si="3"/>
        <v>0</v>
      </c>
      <c r="H44" s="14">
        <f t="shared" si="4"/>
        <v>5</v>
      </c>
      <c r="I44" s="10" t="str">
        <f t="shared" si="5"/>
        <v>Do: میزان آسیب</v>
      </c>
      <c r="J44" s="39" t="s">
        <v>34</v>
      </c>
      <c r="K44" s="26" t="s">
        <v>113</v>
      </c>
    </row>
    <row r="45" spans="1:11">
      <c r="A45" s="9" t="s">
        <v>38</v>
      </c>
      <c r="B45" s="10" t="s">
        <v>111</v>
      </c>
      <c r="C45" s="10" t="s">
        <v>114</v>
      </c>
      <c r="D45" s="14">
        <v>5</v>
      </c>
      <c r="E45" s="17" t="b">
        <v>0</v>
      </c>
      <c r="F45" s="20"/>
      <c r="G45" s="23">
        <f t="shared" si="3"/>
        <v>0</v>
      </c>
      <c r="H45" s="14">
        <f t="shared" si="4"/>
        <v>5</v>
      </c>
      <c r="I45" s="10" t="str">
        <f t="shared" si="5"/>
        <v>Do: موقعیت جاری</v>
      </c>
      <c r="J45" s="39" t="s">
        <v>34</v>
      </c>
      <c r="K45" s="26" t="s">
        <v>115</v>
      </c>
    </row>
    <row r="46" spans="1:11">
      <c r="A46" s="9" t="s">
        <v>38</v>
      </c>
      <c r="B46" s="10" t="s">
        <v>111</v>
      </c>
      <c r="C46" s="10" t="s">
        <v>91</v>
      </c>
      <c r="D46" s="14">
        <v>5</v>
      </c>
      <c r="E46" s="17" t="b">
        <v>0</v>
      </c>
      <c r="F46" s="20"/>
      <c r="G46" s="23">
        <f t="shared" si="3"/>
        <v>0</v>
      </c>
      <c r="H46" s="14">
        <f t="shared" si="4"/>
        <v>5</v>
      </c>
      <c r="I46" s="10" t="str">
        <f t="shared" si="5"/>
        <v>Do: سرعت حرکت</v>
      </c>
      <c r="J46" s="39" t="s">
        <v>34</v>
      </c>
      <c r="K46" s="26" t="s">
        <v>116</v>
      </c>
    </row>
    <row r="47" spans="1:11">
      <c r="A47" s="9" t="s">
        <v>38</v>
      </c>
      <c r="B47" s="10" t="s">
        <v>117</v>
      </c>
      <c r="C47" s="10" t="s">
        <v>118</v>
      </c>
      <c r="D47" s="14">
        <v>5</v>
      </c>
      <c r="E47" s="17" t="b">
        <v>0</v>
      </c>
      <c r="F47" s="20"/>
      <c r="G47" s="23">
        <f t="shared" si="3"/>
        <v>0</v>
      </c>
      <c r="H47" s="14">
        <f t="shared" si="4"/>
        <v>5</v>
      </c>
      <c r="I47" s="10" t="str">
        <f t="shared" si="5"/>
        <v>Do: نوع مرحله</v>
      </c>
      <c r="J47" s="39" t="s">
        <v>34</v>
      </c>
      <c r="K47" s="26" t="s">
        <v>119</v>
      </c>
    </row>
    <row r="48" spans="1:11">
      <c r="A48" s="9" t="s">
        <v>38</v>
      </c>
      <c r="B48" s="10" t="s">
        <v>117</v>
      </c>
      <c r="C48" s="10" t="s">
        <v>120</v>
      </c>
      <c r="D48" s="14">
        <v>5</v>
      </c>
      <c r="E48" s="17" t="b">
        <v>0</v>
      </c>
      <c r="F48" s="20"/>
      <c r="G48" s="23">
        <f t="shared" si="3"/>
        <v>0</v>
      </c>
      <c r="H48" s="14">
        <f t="shared" si="4"/>
        <v>5</v>
      </c>
      <c r="I48" s="10" t="str">
        <f t="shared" si="5"/>
        <v>Do: لیست گیاهان</v>
      </c>
      <c r="J48" s="39" t="s">
        <v>34</v>
      </c>
      <c r="K48" s="26" t="s">
        <v>121</v>
      </c>
    </row>
    <row r="49" spans="1:11">
      <c r="A49" s="9" t="s">
        <v>38</v>
      </c>
      <c r="B49" s="10" t="s">
        <v>117</v>
      </c>
      <c r="C49" s="10" t="s">
        <v>122</v>
      </c>
      <c r="D49" s="14">
        <v>5</v>
      </c>
      <c r="E49" s="17" t="b">
        <v>0</v>
      </c>
      <c r="F49" s="20"/>
      <c r="G49" s="23">
        <f t="shared" si="3"/>
        <v>0</v>
      </c>
      <c r="H49" s="14">
        <f t="shared" si="4"/>
        <v>5</v>
      </c>
      <c r="I49" s="10" t="str">
        <f t="shared" si="5"/>
        <v>Do: الگوهای حمله</v>
      </c>
      <c r="J49" s="39" t="s">
        <v>34</v>
      </c>
      <c r="K49" s="26" t="s">
        <v>123</v>
      </c>
    </row>
    <row r="50" spans="1:11">
      <c r="A50" s="9" t="s">
        <v>38</v>
      </c>
      <c r="B50" s="10" t="s">
        <v>124</v>
      </c>
      <c r="C50" s="10" t="s">
        <v>125</v>
      </c>
      <c r="D50" s="14">
        <v>5</v>
      </c>
      <c r="E50" s="17" t="b">
        <v>0</v>
      </c>
      <c r="F50" s="20"/>
      <c r="G50" s="23">
        <f t="shared" si="3"/>
        <v>0</v>
      </c>
      <c r="H50" s="14">
        <f t="shared" si="4"/>
        <v>5</v>
      </c>
      <c r="I50" s="10" t="str">
        <f t="shared" si="5"/>
        <v>Do: شرح مأموریت</v>
      </c>
      <c r="J50" s="39" t="s">
        <v>34</v>
      </c>
      <c r="K50" s="26" t="s">
        <v>126</v>
      </c>
    </row>
    <row r="51" spans="1:11">
      <c r="A51" s="9" t="s">
        <v>38</v>
      </c>
      <c r="B51" s="10" t="s">
        <v>124</v>
      </c>
      <c r="C51" s="10" t="s">
        <v>127</v>
      </c>
      <c r="D51" s="14">
        <v>5</v>
      </c>
      <c r="E51" s="17" t="b">
        <v>0</v>
      </c>
      <c r="F51" s="20"/>
      <c r="G51" s="23">
        <f t="shared" si="3"/>
        <v>0</v>
      </c>
      <c r="H51" s="14">
        <f t="shared" si="4"/>
        <v>5</v>
      </c>
      <c r="I51" s="10" t="str">
        <f t="shared" si="5"/>
        <v>Do: مقدار پیشرفت</v>
      </c>
      <c r="J51" s="39" t="s">
        <v>34</v>
      </c>
      <c r="K51" s="26" t="s">
        <v>128</v>
      </c>
    </row>
    <row r="52" spans="1:11">
      <c r="A52" s="9" t="s">
        <v>38</v>
      </c>
      <c r="B52" s="10" t="s">
        <v>129</v>
      </c>
      <c r="C52" s="10" t="s">
        <v>130</v>
      </c>
      <c r="D52" s="14">
        <v>5</v>
      </c>
      <c r="E52" s="17" t="b">
        <v>0</v>
      </c>
      <c r="F52" s="20"/>
      <c r="G52" s="23">
        <f t="shared" si="3"/>
        <v>0</v>
      </c>
      <c r="H52" s="14">
        <f t="shared" si="4"/>
        <v>5</v>
      </c>
      <c r="I52" s="10" t="str">
        <f t="shared" si="5"/>
        <v>Do: گیاهان داشته</v>
      </c>
      <c r="J52" s="39" t="s">
        <v>34</v>
      </c>
      <c r="K52" s="26" t="s">
        <v>131</v>
      </c>
    </row>
    <row r="53" spans="1:11">
      <c r="A53" s="9" t="s">
        <v>38</v>
      </c>
      <c r="B53" s="10" t="s">
        <v>129</v>
      </c>
      <c r="C53" s="10" t="s">
        <v>132</v>
      </c>
      <c r="D53" s="14">
        <v>5</v>
      </c>
      <c r="E53" s="17" t="b">
        <v>0</v>
      </c>
      <c r="F53" s="20"/>
      <c r="G53" s="23">
        <f t="shared" si="3"/>
        <v>0</v>
      </c>
      <c r="H53" s="14">
        <f t="shared" si="4"/>
        <v>5</v>
      </c>
      <c r="I53" s="10" t="str">
        <f t="shared" si="5"/>
        <v>Do: گیاهان قفل</v>
      </c>
      <c r="J53" s="39" t="s">
        <v>34</v>
      </c>
      <c r="K53" s="26" t="s">
        <v>133</v>
      </c>
    </row>
    <row r="54" spans="1:11">
      <c r="A54" s="9" t="s">
        <v>38</v>
      </c>
      <c r="B54" s="10" t="s">
        <v>129</v>
      </c>
      <c r="C54" s="10" t="s">
        <v>134</v>
      </c>
      <c r="D54" s="14">
        <v>5</v>
      </c>
      <c r="E54" s="17" t="b">
        <v>0</v>
      </c>
      <c r="F54" s="20"/>
      <c r="G54" s="23">
        <f t="shared" si="3"/>
        <v>0</v>
      </c>
      <c r="H54" s="14">
        <f t="shared" si="4"/>
        <v>5</v>
      </c>
      <c r="I54" s="10" t="str">
        <f t="shared" si="5"/>
        <v>Do: باز کردن گیاه</v>
      </c>
      <c r="J54" s="39" t="s">
        <v>34</v>
      </c>
      <c r="K54" s="26" t="s">
        <v>135</v>
      </c>
    </row>
    <row r="55" spans="1:11">
      <c r="A55" s="9" t="s">
        <v>38</v>
      </c>
      <c r="B55" s="10" t="s">
        <v>136</v>
      </c>
      <c r="C55" s="10" t="s">
        <v>137</v>
      </c>
      <c r="D55" s="14">
        <v>5</v>
      </c>
      <c r="E55" s="17" t="b">
        <v>0</v>
      </c>
      <c r="F55" s="20"/>
      <c r="G55" s="23">
        <f t="shared" si="3"/>
        <v>0</v>
      </c>
      <c r="H55" s="14">
        <f t="shared" si="4"/>
        <v>5</v>
      </c>
      <c r="I55" s="10" t="str">
        <f t="shared" si="5"/>
        <v>Do: زمان آخر برداشت</v>
      </c>
      <c r="J55" s="39" t="s">
        <v>34</v>
      </c>
      <c r="K55" s="26" t="s">
        <v>138</v>
      </c>
    </row>
    <row r="56" spans="1:11">
      <c r="A56" s="9" t="s">
        <v>38</v>
      </c>
      <c r="B56" s="10" t="s">
        <v>136</v>
      </c>
      <c r="C56" s="10" t="s">
        <v>139</v>
      </c>
      <c r="D56" s="14">
        <v>5</v>
      </c>
      <c r="E56" s="17" t="b">
        <v>0</v>
      </c>
      <c r="F56" s="20"/>
      <c r="G56" s="23">
        <f t="shared" si="3"/>
        <v>0</v>
      </c>
      <c r="H56" s="14">
        <f t="shared" si="4"/>
        <v>5</v>
      </c>
      <c r="I56" s="10" t="str">
        <f t="shared" si="5"/>
        <v>Do: تولید</v>
      </c>
      <c r="J56" s="39" t="s">
        <v>34</v>
      </c>
      <c r="K56" s="26" t="s">
        <v>140</v>
      </c>
    </row>
    <row r="57" spans="1:11">
      <c r="A57" s="9" t="s">
        <v>38</v>
      </c>
      <c r="B57" s="10" t="s">
        <v>141</v>
      </c>
      <c r="C57" s="10" t="s">
        <v>142</v>
      </c>
      <c r="D57" s="14">
        <v>5</v>
      </c>
      <c r="E57" s="17" t="b">
        <v>0</v>
      </c>
      <c r="F57" s="20"/>
      <c r="G57" s="23">
        <f t="shared" si="3"/>
        <v>0</v>
      </c>
      <c r="H57" s="14">
        <f t="shared" si="4"/>
        <v>5</v>
      </c>
      <c r="I57" s="10" t="str">
        <f t="shared" si="5"/>
        <v>Do: آیتم‌های قابل خرید</v>
      </c>
      <c r="J57" s="39" t="s">
        <v>34</v>
      </c>
      <c r="K57" s="26" t="s">
        <v>143</v>
      </c>
    </row>
    <row r="58" spans="1:11">
      <c r="A58" s="9" t="s">
        <v>38</v>
      </c>
      <c r="B58" s="10" t="s">
        <v>141</v>
      </c>
      <c r="C58" s="10" t="s">
        <v>144</v>
      </c>
      <c r="D58" s="14">
        <v>5</v>
      </c>
      <c r="E58" s="17" t="b">
        <v>0</v>
      </c>
      <c r="F58" s="20"/>
      <c r="G58" s="23">
        <f t="shared" si="3"/>
        <v>0</v>
      </c>
      <c r="H58" s="14">
        <f t="shared" si="4"/>
        <v>5</v>
      </c>
      <c r="I58" s="10" t="str">
        <f t="shared" si="5"/>
        <v>Do: دائمی یا روزانه</v>
      </c>
      <c r="J58" s="39" t="s">
        <v>34</v>
      </c>
      <c r="K58" s="26" t="s">
        <v>145</v>
      </c>
    </row>
    <row r="59" spans="1:11">
      <c r="A59" s="9" t="s">
        <v>38</v>
      </c>
      <c r="B59" s="10" t="s">
        <v>146</v>
      </c>
      <c r="C59" s="10" t="s">
        <v>147</v>
      </c>
      <c r="D59" s="14">
        <v>5</v>
      </c>
      <c r="E59" s="17" t="b">
        <v>0</v>
      </c>
      <c r="F59" s="20"/>
      <c r="G59" s="23">
        <f t="shared" si="3"/>
        <v>0</v>
      </c>
      <c r="H59" s="14">
        <f t="shared" si="4"/>
        <v>5</v>
      </c>
      <c r="I59" s="10" t="str">
        <f t="shared" si="5"/>
        <v>Do: لیست اخبار</v>
      </c>
      <c r="J59" s="39" t="s">
        <v>34</v>
      </c>
      <c r="K59" s="26" t="s">
        <v>148</v>
      </c>
    </row>
    <row r="60" spans="1:11">
      <c r="A60" s="11" t="s">
        <v>38</v>
      </c>
      <c r="B60" s="12" t="s">
        <v>146</v>
      </c>
      <c r="C60" s="12" t="s">
        <v>149</v>
      </c>
      <c r="D60" s="15">
        <v>5</v>
      </c>
      <c r="E60" s="18" t="b">
        <v>0</v>
      </c>
      <c r="F60" s="21"/>
      <c r="G60" s="24">
        <f t="shared" si="3"/>
        <v>0</v>
      </c>
      <c r="H60" s="15">
        <f t="shared" si="4"/>
        <v>5</v>
      </c>
      <c r="I60" s="12" t="str">
        <f t="shared" si="5"/>
        <v>Do: خوانده شده؟</v>
      </c>
      <c r="J60" s="40" t="s">
        <v>34</v>
      </c>
      <c r="K60" s="26" t="s">
        <v>150</v>
      </c>
    </row>
    <row r="61" spans="1:11">
      <c r="A61" t="s">
        <v>151</v>
      </c>
      <c r="B61" t="s">
        <v>152</v>
      </c>
      <c r="C61" t="s">
        <v>152</v>
      </c>
      <c r="D61">
        <v>100</v>
      </c>
      <c r="E61" s="3" t="b">
        <v>0</v>
      </c>
      <c r="G61">
        <f t="shared" si="3"/>
        <v>0</v>
      </c>
      <c r="H61">
        <f t="shared" si="4"/>
        <v>100</v>
      </c>
      <c r="I61" t="str">
        <f t="shared" si="5"/>
        <v>Do: برای مثال باید بتوان به راحتی زامبی یا گیاه جدید اضافه کرد</v>
      </c>
      <c r="J61" s="11" t="s">
        <v>34</v>
      </c>
      <c r="K61" s="27" t="s">
        <v>153</v>
      </c>
    </row>
  </sheetData>
  <mergeCells count="5">
    <mergeCell ref="B3:D3"/>
    <mergeCell ref="A7:B7"/>
    <mergeCell ref="A8:B8"/>
    <mergeCell ref="A1:K1"/>
    <mergeCell ref="A5:K5"/>
  </mergeCells>
  <conditionalFormatting sqref="D11:D60">
    <cfRule type="expression" dxfId="17" priority="1">
      <formula>D11=0</formula>
    </cfRule>
  </conditionalFormatting>
  <conditionalFormatting sqref="F11:F60">
    <cfRule type="expression" dxfId="16" priority="6">
      <formula>OR(F11&lt;0,F11&gt;D11)</formula>
    </cfRule>
  </conditionalFormatting>
  <conditionalFormatting sqref="G11:G60">
    <cfRule type="expression" dxfId="15" priority="2">
      <formula>AND($D11&gt;0,$G11=0)</formula>
    </cfRule>
    <cfRule type="expression" dxfId="14" priority="3">
      <formula>AND($D11&gt;0,$G11=$D11)</formula>
    </cfRule>
    <cfRule type="expression" dxfId="13" priority="4">
      <formula>AND($G11&gt;0,$G11&lt;$D11)</formula>
    </cfRule>
    <cfRule type="expression" dxfId="12" priority="5">
      <formula>$D11=0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8"/>
  <sheetViews>
    <sheetView workbookViewId="0"/>
  </sheetViews>
  <sheetFormatPr defaultRowHeight="13.8"/>
  <cols>
    <col min="1" max="1" width="22" customWidth="1"/>
    <col min="2" max="2" width="30" customWidth="1"/>
    <col min="3" max="3" width="36" customWidth="1"/>
    <col min="4" max="4" width="10" customWidth="1"/>
    <col min="5" max="5" width="9" customWidth="1"/>
    <col min="6" max="6" width="13" customWidth="1"/>
    <col min="7" max="8" width="11" customWidth="1"/>
    <col min="9" max="9" width="42" customWidth="1"/>
    <col min="10" max="10" width="24" customWidth="1"/>
    <col min="11" max="11" width="10" customWidth="1"/>
  </cols>
  <sheetData>
    <row r="1" spans="1:11" ht="25.65" customHeight="1">
      <c r="A1" s="42" t="s">
        <v>154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3" spans="1:11" ht="15.6">
      <c r="A3" s="1" t="s">
        <v>1</v>
      </c>
      <c r="B3" s="57" t="str">
        <f>Dashboard!$B$3</f>
        <v>My Team</v>
      </c>
      <c r="C3" s="58"/>
      <c r="D3" s="59"/>
    </row>
    <row r="5" spans="1:11" ht="22.35" customHeight="1">
      <c r="A5" s="46" t="s">
        <v>19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>
      <c r="A7" s="60" t="s">
        <v>155</v>
      </c>
      <c r="B7" s="60"/>
      <c r="C7" s="60" t="s">
        <v>156</v>
      </c>
      <c r="D7" s="60"/>
    </row>
    <row r="8" spans="1:11" ht="17.399999999999999">
      <c r="A8" s="61" t="str">
        <f>_logic_p1!EE5&amp;" / "&amp;_logic_p1!EE4</f>
        <v>0 / 5495</v>
      </c>
      <c r="B8" s="61"/>
      <c r="C8" s="61" t="str">
        <f>_logic_p1!EF5&amp;" / "&amp;_logic_p1!EF4</f>
        <v>0 / 60</v>
      </c>
      <c r="D8" s="61"/>
    </row>
    <row r="10" spans="1:11" ht="24" customHeight="1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31</v>
      </c>
    </row>
    <row r="11" spans="1:11">
      <c r="A11" s="7" t="s">
        <v>157</v>
      </c>
      <c r="B11" s="8" t="s">
        <v>158</v>
      </c>
      <c r="C11" s="8" t="s">
        <v>159</v>
      </c>
      <c r="D11" s="13">
        <v>5</v>
      </c>
      <c r="E11" s="16" t="b">
        <v>0</v>
      </c>
      <c r="F11" s="19"/>
      <c r="G11" s="22">
        <f t="shared" ref="G11:G42" si="0">IF(E11,D11,IF(F11="",0,MIN(MAX(F11,0),D11)))</f>
        <v>0</v>
      </c>
      <c r="H11" s="13">
        <f t="shared" ref="H11:H42" si="1">MAX(D11-G11,0)</f>
        <v>5</v>
      </c>
      <c r="I11" s="8" t="str">
        <f t="shared" ref="I11:I42" si="2">IF(D11=0,"No points attached",IF(G11=D11,"Done",IF(G11=0,"Do: "&amp;C11,"Finish: "&amp;C11&amp;" ("&amp;TEXT(H11,"0.##")&amp;" pts left)")))</f>
        <v>Do: tag</v>
      </c>
      <c r="J11" s="38" t="s">
        <v>155</v>
      </c>
      <c r="K11" s="25" t="s">
        <v>35</v>
      </c>
    </row>
    <row r="12" spans="1:11">
      <c r="A12" s="9" t="s">
        <v>157</v>
      </c>
      <c r="B12" s="10" t="s">
        <v>160</v>
      </c>
      <c r="C12" s="10" t="s">
        <v>161</v>
      </c>
      <c r="D12" s="14">
        <v>0</v>
      </c>
      <c r="E12" s="17" t="b">
        <v>0</v>
      </c>
      <c r="F12" s="20"/>
      <c r="G12" s="23">
        <f t="shared" si="0"/>
        <v>0</v>
      </c>
      <c r="H12" s="14">
        <f t="shared" si="1"/>
        <v>0</v>
      </c>
      <c r="I12" s="10" t="str">
        <f t="shared" si="2"/>
        <v>No points attached</v>
      </c>
      <c r="J12" s="39" t="s">
        <v>155</v>
      </c>
      <c r="K12" s="26" t="s">
        <v>37</v>
      </c>
    </row>
    <row r="13" spans="1:11">
      <c r="A13" s="9" t="s">
        <v>157</v>
      </c>
      <c r="B13" s="10" t="s">
        <v>160</v>
      </c>
      <c r="C13" s="10" t="s">
        <v>162</v>
      </c>
      <c r="D13" s="14">
        <v>25</v>
      </c>
      <c r="E13" s="17" t="b">
        <v>0</v>
      </c>
      <c r="F13" s="20"/>
      <c r="G13" s="23">
        <f t="shared" si="0"/>
        <v>0</v>
      </c>
      <c r="H13" s="14">
        <f t="shared" si="1"/>
        <v>25</v>
      </c>
      <c r="I13" s="10" t="str">
        <f t="shared" si="2"/>
        <v>Do: معماری مشخص</v>
      </c>
      <c r="J13" s="39" t="s">
        <v>155</v>
      </c>
      <c r="K13" s="26" t="s">
        <v>41</v>
      </c>
    </row>
    <row r="14" spans="1:11">
      <c r="A14" s="9" t="s">
        <v>163</v>
      </c>
      <c r="B14" s="10" t="s">
        <v>164</v>
      </c>
      <c r="C14" s="10" t="s">
        <v>165</v>
      </c>
      <c r="D14" s="14">
        <v>15</v>
      </c>
      <c r="E14" s="17" t="b">
        <v>0</v>
      </c>
      <c r="F14" s="20"/>
      <c r="G14" s="23">
        <f t="shared" si="0"/>
        <v>0</v>
      </c>
      <c r="H14" s="14">
        <f t="shared" si="1"/>
        <v>15</v>
      </c>
      <c r="I14" s="10" t="str">
        <f t="shared" si="2"/>
        <v>Do: قابلیت ساخت کاربر جدید</v>
      </c>
      <c r="J14" s="39" t="s">
        <v>155</v>
      </c>
      <c r="K14" s="26" t="s">
        <v>43</v>
      </c>
    </row>
    <row r="15" spans="1:11">
      <c r="A15" s="9" t="s">
        <v>163</v>
      </c>
      <c r="B15" s="10" t="s">
        <v>164</v>
      </c>
      <c r="C15" s="10" t="s">
        <v>166</v>
      </c>
      <c r="D15" s="14">
        <v>10</v>
      </c>
      <c r="E15" s="17" t="b">
        <v>0</v>
      </c>
      <c r="F15" s="20"/>
      <c r="G15" s="23">
        <f t="shared" si="0"/>
        <v>0</v>
      </c>
      <c r="H15" s="14">
        <f t="shared" si="1"/>
        <v>10</v>
      </c>
      <c r="I15" s="10" t="str">
        <f t="shared" si="2"/>
        <v>Do: پرسش امنیتی</v>
      </c>
      <c r="J15" s="39" t="s">
        <v>155</v>
      </c>
      <c r="K15" s="26" t="s">
        <v>45</v>
      </c>
    </row>
    <row r="16" spans="1:11">
      <c r="A16" s="9" t="s">
        <v>163</v>
      </c>
      <c r="B16" s="10" t="s">
        <v>164</v>
      </c>
      <c r="C16" s="10" t="s">
        <v>167</v>
      </c>
      <c r="D16" s="14">
        <v>2</v>
      </c>
      <c r="E16" s="17" t="b">
        <v>0</v>
      </c>
      <c r="F16" s="20"/>
      <c r="G16" s="23">
        <f t="shared" si="0"/>
        <v>0</v>
      </c>
      <c r="H16" s="14">
        <f t="shared" si="1"/>
        <v>2</v>
      </c>
      <c r="I16" s="10" t="str">
        <f t="shared" si="2"/>
        <v>Do: SHA-256 (امتیازی)</v>
      </c>
      <c r="J16" s="39" t="s">
        <v>156</v>
      </c>
      <c r="K16" s="26" t="s">
        <v>48</v>
      </c>
    </row>
    <row r="17" spans="1:11">
      <c r="A17" s="9" t="s">
        <v>163</v>
      </c>
      <c r="B17" s="10" t="s">
        <v>168</v>
      </c>
      <c r="C17" s="10" t="s">
        <v>169</v>
      </c>
      <c r="D17" s="14">
        <v>10</v>
      </c>
      <c r="E17" s="17" t="b">
        <v>0</v>
      </c>
      <c r="F17" s="20"/>
      <c r="G17" s="23">
        <f t="shared" si="0"/>
        <v>0</v>
      </c>
      <c r="H17" s="14">
        <f t="shared" si="1"/>
        <v>10</v>
      </c>
      <c r="I17" s="10" t="str">
        <f t="shared" si="2"/>
        <v>Do: ورود</v>
      </c>
      <c r="J17" s="39" t="s">
        <v>155</v>
      </c>
      <c r="K17" s="26" t="s">
        <v>50</v>
      </c>
    </row>
    <row r="18" spans="1:11">
      <c r="A18" s="9" t="s">
        <v>163</v>
      </c>
      <c r="B18" s="10" t="s">
        <v>168</v>
      </c>
      <c r="C18" s="10" t="s">
        <v>170</v>
      </c>
      <c r="D18" s="14">
        <v>10</v>
      </c>
      <c r="E18" s="17" t="b">
        <v>0</v>
      </c>
      <c r="F18" s="20"/>
      <c r="G18" s="23">
        <f t="shared" si="0"/>
        <v>0</v>
      </c>
      <c r="H18" s="14">
        <f t="shared" si="1"/>
        <v>10</v>
      </c>
      <c r="I18" s="10" t="str">
        <f t="shared" si="2"/>
        <v>Do: stay logged in</v>
      </c>
      <c r="J18" s="39" t="s">
        <v>155</v>
      </c>
      <c r="K18" s="26" t="s">
        <v>52</v>
      </c>
    </row>
    <row r="19" spans="1:11">
      <c r="A19" s="9" t="s">
        <v>163</v>
      </c>
      <c r="B19" s="10" t="s">
        <v>168</v>
      </c>
      <c r="C19" s="10" t="s">
        <v>171</v>
      </c>
      <c r="D19" s="14">
        <v>10</v>
      </c>
      <c r="E19" s="17" t="b">
        <v>0</v>
      </c>
      <c r="F19" s="20"/>
      <c r="G19" s="23">
        <f t="shared" si="0"/>
        <v>0</v>
      </c>
      <c r="H19" s="14">
        <f t="shared" si="1"/>
        <v>10</v>
      </c>
      <c r="I19" s="10" t="str">
        <f t="shared" si="2"/>
        <v>Do: فراموشی رمز عبور</v>
      </c>
      <c r="J19" s="39" t="s">
        <v>155</v>
      </c>
      <c r="K19" s="26" t="s">
        <v>54</v>
      </c>
    </row>
    <row r="20" spans="1:11">
      <c r="A20" s="9" t="s">
        <v>163</v>
      </c>
      <c r="B20" s="10" t="s">
        <v>172</v>
      </c>
      <c r="C20" s="10" t="s">
        <v>173</v>
      </c>
      <c r="D20" s="14">
        <v>5</v>
      </c>
      <c r="E20" s="17" t="b">
        <v>0</v>
      </c>
      <c r="F20" s="20"/>
      <c r="G20" s="23">
        <f t="shared" si="0"/>
        <v>0</v>
      </c>
      <c r="H20" s="14">
        <f t="shared" si="1"/>
        <v>5</v>
      </c>
      <c r="I20" s="10" t="str">
        <f t="shared" si="2"/>
        <v>Do: نمایش منوها</v>
      </c>
      <c r="J20" s="39" t="s">
        <v>155</v>
      </c>
      <c r="K20" s="26" t="s">
        <v>57</v>
      </c>
    </row>
    <row r="21" spans="1:11">
      <c r="A21" s="9" t="s">
        <v>163</v>
      </c>
      <c r="B21" s="10" t="s">
        <v>172</v>
      </c>
      <c r="C21" s="10" t="s">
        <v>174</v>
      </c>
      <c r="D21" s="14">
        <v>10</v>
      </c>
      <c r="E21" s="17" t="b">
        <v>0</v>
      </c>
      <c r="F21" s="20"/>
      <c r="G21" s="23">
        <f t="shared" si="0"/>
        <v>0</v>
      </c>
      <c r="H21" s="14">
        <f t="shared" si="1"/>
        <v>10</v>
      </c>
      <c r="I21" s="10" t="str">
        <f t="shared" si="2"/>
        <v>Do: ورود به منوها</v>
      </c>
      <c r="J21" s="39" t="s">
        <v>155</v>
      </c>
      <c r="K21" s="26" t="s">
        <v>59</v>
      </c>
    </row>
    <row r="22" spans="1:11">
      <c r="A22" s="9" t="s">
        <v>163</v>
      </c>
      <c r="B22" s="10" t="s">
        <v>172</v>
      </c>
      <c r="C22" s="10" t="s">
        <v>175</v>
      </c>
      <c r="D22" s="14">
        <v>5</v>
      </c>
      <c r="E22" s="17" t="b">
        <v>0</v>
      </c>
      <c r="F22" s="20"/>
      <c r="G22" s="23">
        <f t="shared" si="0"/>
        <v>0</v>
      </c>
      <c r="H22" s="14">
        <f t="shared" si="1"/>
        <v>5</v>
      </c>
      <c r="I22" s="10" t="str">
        <f t="shared" si="2"/>
        <v>Do: خروج</v>
      </c>
      <c r="J22" s="39" t="s">
        <v>155</v>
      </c>
      <c r="K22" s="26" t="s">
        <v>62</v>
      </c>
    </row>
    <row r="23" spans="1:11">
      <c r="A23" s="9" t="s">
        <v>163</v>
      </c>
      <c r="B23" s="10" t="s">
        <v>176</v>
      </c>
      <c r="C23" s="10" t="s">
        <v>177</v>
      </c>
      <c r="D23" s="14">
        <v>20</v>
      </c>
      <c r="E23" s="17" t="b">
        <v>0</v>
      </c>
      <c r="F23" s="20"/>
      <c r="G23" s="23">
        <f t="shared" si="0"/>
        <v>0</v>
      </c>
      <c r="H23" s="14">
        <f t="shared" si="1"/>
        <v>20</v>
      </c>
      <c r="I23" s="10" t="str">
        <f t="shared" si="2"/>
        <v>Do: تغییر فیلدها</v>
      </c>
      <c r="J23" s="39" t="s">
        <v>155</v>
      </c>
      <c r="K23" s="26" t="s">
        <v>64</v>
      </c>
    </row>
    <row r="24" spans="1:11">
      <c r="A24" s="9" t="s">
        <v>163</v>
      </c>
      <c r="B24" s="10" t="s">
        <v>176</v>
      </c>
      <c r="C24" s="10" t="s">
        <v>178</v>
      </c>
      <c r="D24" s="14">
        <v>10</v>
      </c>
      <c r="E24" s="17" t="b">
        <v>0</v>
      </c>
      <c r="F24" s="20"/>
      <c r="G24" s="23">
        <f t="shared" si="0"/>
        <v>0</v>
      </c>
      <c r="H24" s="14">
        <f t="shared" si="1"/>
        <v>10</v>
      </c>
      <c r="I24" s="10" t="str">
        <f t="shared" si="2"/>
        <v>Do: نمایش اطلاعات کاربر</v>
      </c>
      <c r="J24" s="39" t="s">
        <v>155</v>
      </c>
      <c r="K24" s="26" t="s">
        <v>67</v>
      </c>
    </row>
    <row r="25" spans="1:11">
      <c r="A25" s="9" t="s">
        <v>163</v>
      </c>
      <c r="B25" s="10" t="s">
        <v>179</v>
      </c>
      <c r="C25" s="10" t="s">
        <v>180</v>
      </c>
      <c r="D25" s="14">
        <v>25</v>
      </c>
      <c r="E25" s="17" t="b">
        <v>0</v>
      </c>
      <c r="F25" s="20"/>
      <c r="G25" s="23">
        <f t="shared" si="0"/>
        <v>0</v>
      </c>
      <c r="H25" s="14">
        <f t="shared" si="1"/>
        <v>25</v>
      </c>
      <c r="I25" s="10" t="str">
        <f t="shared" si="2"/>
        <v>Do: نمایش اخبار</v>
      </c>
      <c r="J25" s="39" t="s">
        <v>155</v>
      </c>
      <c r="K25" s="26" t="s">
        <v>69</v>
      </c>
    </row>
    <row r="26" spans="1:11">
      <c r="A26" s="9" t="s">
        <v>163</v>
      </c>
      <c r="B26" s="10" t="s">
        <v>181</v>
      </c>
      <c r="C26" s="10" t="s">
        <v>182</v>
      </c>
      <c r="D26" s="14">
        <v>10</v>
      </c>
      <c r="E26" s="17" t="b">
        <v>0</v>
      </c>
      <c r="F26" s="20"/>
      <c r="G26" s="23">
        <f t="shared" si="0"/>
        <v>0</v>
      </c>
      <c r="H26" s="14">
        <f t="shared" si="1"/>
        <v>10</v>
      </c>
      <c r="I26" s="10" t="str">
        <f t="shared" si="2"/>
        <v>Do: امکان تغییر سختی بازی</v>
      </c>
      <c r="J26" s="39" t="s">
        <v>155</v>
      </c>
      <c r="K26" s="26" t="s">
        <v>74</v>
      </c>
    </row>
    <row r="27" spans="1:11">
      <c r="A27" s="9" t="s">
        <v>183</v>
      </c>
      <c r="B27" s="10" t="s">
        <v>183</v>
      </c>
      <c r="C27" s="10" t="s">
        <v>184</v>
      </c>
      <c r="D27" s="14">
        <v>5</v>
      </c>
      <c r="E27" s="17" t="b">
        <v>0</v>
      </c>
      <c r="F27" s="20"/>
      <c r="G27" s="23">
        <f t="shared" si="0"/>
        <v>0</v>
      </c>
      <c r="H27" s="14">
        <f t="shared" si="1"/>
        <v>5</v>
      </c>
      <c r="I27" s="10" t="str">
        <f t="shared" si="2"/>
        <v>Do: امکان انتخاب چپترها</v>
      </c>
      <c r="J27" s="39" t="s">
        <v>155</v>
      </c>
      <c r="K27" s="26" t="s">
        <v>76</v>
      </c>
    </row>
    <row r="28" spans="1:11">
      <c r="A28" s="9" t="s">
        <v>183</v>
      </c>
      <c r="B28" s="10" t="s">
        <v>183</v>
      </c>
      <c r="C28" s="10" t="s">
        <v>185</v>
      </c>
      <c r="D28" s="14">
        <v>5</v>
      </c>
      <c r="E28" s="17" t="b">
        <v>0</v>
      </c>
      <c r="F28" s="20"/>
      <c r="G28" s="23">
        <f t="shared" si="0"/>
        <v>0</v>
      </c>
      <c r="H28" s="14">
        <f t="shared" si="1"/>
        <v>5</v>
      </c>
      <c r="I28" s="10" t="str">
        <f t="shared" si="2"/>
        <v>Do: انتخاب مرحله</v>
      </c>
      <c r="J28" s="39" t="s">
        <v>155</v>
      </c>
      <c r="K28" s="26" t="s">
        <v>79</v>
      </c>
    </row>
    <row r="29" spans="1:11">
      <c r="A29" s="9" t="s">
        <v>183</v>
      </c>
      <c r="B29" s="10" t="s">
        <v>183</v>
      </c>
      <c r="C29" s="10" t="s">
        <v>186</v>
      </c>
      <c r="D29" s="14">
        <v>10</v>
      </c>
      <c r="E29" s="17" t="b">
        <v>0</v>
      </c>
      <c r="F29" s="20"/>
      <c r="G29" s="23">
        <f t="shared" si="0"/>
        <v>0</v>
      </c>
      <c r="H29" s="14">
        <f t="shared" si="1"/>
        <v>10</v>
      </c>
      <c r="I29" s="10" t="str">
        <f t="shared" si="2"/>
        <v>Do: نگه داشتن پیشرفت</v>
      </c>
      <c r="J29" s="39" t="s">
        <v>155</v>
      </c>
      <c r="K29" s="26" t="s">
        <v>81</v>
      </c>
    </row>
    <row r="30" spans="1:11">
      <c r="A30" s="9" t="s">
        <v>183</v>
      </c>
      <c r="B30" s="10" t="s">
        <v>183</v>
      </c>
      <c r="C30" s="10" t="s">
        <v>187</v>
      </c>
      <c r="D30" s="14">
        <v>5</v>
      </c>
      <c r="E30" s="17" t="b">
        <v>0</v>
      </c>
      <c r="F30" s="20"/>
      <c r="G30" s="23">
        <f t="shared" si="0"/>
        <v>0</v>
      </c>
      <c r="H30" s="14">
        <f t="shared" si="1"/>
        <v>5</v>
      </c>
      <c r="I30" s="10" t="str">
        <f t="shared" si="2"/>
        <v>Do: خروج از بازی</v>
      </c>
      <c r="J30" s="39" t="s">
        <v>155</v>
      </c>
      <c r="K30" s="26" t="s">
        <v>83</v>
      </c>
    </row>
    <row r="31" spans="1:11">
      <c r="A31" s="9" t="s">
        <v>183</v>
      </c>
      <c r="B31" s="10" t="s">
        <v>183</v>
      </c>
      <c r="C31" s="10" t="s">
        <v>188</v>
      </c>
      <c r="D31" s="14">
        <v>5</v>
      </c>
      <c r="E31" s="17" t="b">
        <v>0</v>
      </c>
      <c r="F31" s="20"/>
      <c r="G31" s="23">
        <f t="shared" si="0"/>
        <v>0</v>
      </c>
      <c r="H31" s="14">
        <f t="shared" si="1"/>
        <v>5</v>
      </c>
      <c r="I31" s="10" t="str">
        <f t="shared" si="2"/>
        <v>Do: بررسی خطاها</v>
      </c>
      <c r="J31" s="39" t="s">
        <v>155</v>
      </c>
      <c r="K31" s="26" t="s">
        <v>85</v>
      </c>
    </row>
    <row r="32" spans="1:11">
      <c r="A32" s="9" t="s">
        <v>183</v>
      </c>
      <c r="B32" s="10" t="s">
        <v>183</v>
      </c>
      <c r="C32" s="10" t="s">
        <v>189</v>
      </c>
      <c r="D32" s="14">
        <v>5</v>
      </c>
      <c r="E32" s="17" t="b">
        <v>0</v>
      </c>
      <c r="F32" s="20"/>
      <c r="G32" s="23">
        <f t="shared" si="0"/>
        <v>0</v>
      </c>
      <c r="H32" s="14">
        <f t="shared" si="1"/>
        <v>5</v>
      </c>
      <c r="I32" s="10" t="str">
        <f t="shared" si="2"/>
        <v>Do: نمایش تعداد سکه</v>
      </c>
      <c r="J32" s="39" t="s">
        <v>155</v>
      </c>
      <c r="K32" s="26" t="s">
        <v>87</v>
      </c>
    </row>
    <row r="33" spans="1:11">
      <c r="A33" s="9" t="s">
        <v>183</v>
      </c>
      <c r="B33" s="10" t="s">
        <v>183</v>
      </c>
      <c r="C33" s="10" t="s">
        <v>190</v>
      </c>
      <c r="D33" s="14">
        <v>5</v>
      </c>
      <c r="E33" s="17" t="b">
        <v>0</v>
      </c>
      <c r="F33" s="20"/>
      <c r="G33" s="23">
        <f t="shared" si="0"/>
        <v>0</v>
      </c>
      <c r="H33" s="14">
        <f t="shared" si="1"/>
        <v>5</v>
      </c>
      <c r="I33" s="10" t="str">
        <f t="shared" si="2"/>
        <v>Do: نمایش تعداد الماس</v>
      </c>
      <c r="J33" s="39" t="s">
        <v>155</v>
      </c>
      <c r="K33" s="26" t="s">
        <v>90</v>
      </c>
    </row>
    <row r="34" spans="1:11">
      <c r="A34" s="9" t="s">
        <v>183</v>
      </c>
      <c r="B34" s="10" t="s">
        <v>191</v>
      </c>
      <c r="C34" s="10" t="s">
        <v>192</v>
      </c>
      <c r="D34" s="14">
        <v>15</v>
      </c>
      <c r="E34" s="17" t="b">
        <v>0</v>
      </c>
      <c r="F34" s="20"/>
      <c r="G34" s="23">
        <f t="shared" si="0"/>
        <v>0</v>
      </c>
      <c r="H34" s="14">
        <f t="shared" si="1"/>
        <v>15</v>
      </c>
      <c r="I34" s="10" t="str">
        <f t="shared" si="2"/>
        <v>Do: نمایش گیاهان</v>
      </c>
      <c r="J34" s="39" t="s">
        <v>155</v>
      </c>
      <c r="K34" s="26" t="s">
        <v>92</v>
      </c>
    </row>
    <row r="35" spans="1:11">
      <c r="A35" s="9" t="s">
        <v>183</v>
      </c>
      <c r="B35" s="10" t="s">
        <v>191</v>
      </c>
      <c r="C35" s="10" t="s">
        <v>193</v>
      </c>
      <c r="D35" s="14">
        <v>15</v>
      </c>
      <c r="E35" s="17" t="b">
        <v>0</v>
      </c>
      <c r="F35" s="20"/>
      <c r="G35" s="23">
        <f t="shared" si="0"/>
        <v>0</v>
      </c>
      <c r="H35" s="14">
        <f t="shared" si="1"/>
        <v>15</v>
      </c>
      <c r="I35" s="10" t="str">
        <f t="shared" si="2"/>
        <v>Do: نمایش زامبی‌ها</v>
      </c>
      <c r="J35" s="39" t="s">
        <v>155</v>
      </c>
      <c r="K35" s="26" t="s">
        <v>94</v>
      </c>
    </row>
    <row r="36" spans="1:11">
      <c r="A36" s="9" t="s">
        <v>183</v>
      </c>
      <c r="B36" s="10" t="s">
        <v>191</v>
      </c>
      <c r="C36" s="10" t="s">
        <v>194</v>
      </c>
      <c r="D36" s="14">
        <v>5</v>
      </c>
      <c r="E36" s="17" t="b">
        <v>0</v>
      </c>
      <c r="F36" s="20"/>
      <c r="G36" s="23">
        <f t="shared" si="0"/>
        <v>0</v>
      </c>
      <c r="H36" s="14">
        <f t="shared" si="1"/>
        <v>5</v>
      </c>
      <c r="I36" s="10" t="str">
        <f t="shared" si="2"/>
        <v>Do: ارتقای گیاهان</v>
      </c>
      <c r="J36" s="39" t="s">
        <v>155</v>
      </c>
      <c r="K36" s="26" t="s">
        <v>96</v>
      </c>
    </row>
    <row r="37" spans="1:11">
      <c r="A37" s="9" t="s">
        <v>183</v>
      </c>
      <c r="B37" s="10" t="s">
        <v>191</v>
      </c>
      <c r="C37" s="10" t="s">
        <v>195</v>
      </c>
      <c r="D37" s="14">
        <v>10</v>
      </c>
      <c r="E37" s="17" t="b">
        <v>0</v>
      </c>
      <c r="F37" s="20"/>
      <c r="G37" s="23">
        <f t="shared" si="0"/>
        <v>0</v>
      </c>
      <c r="H37" s="14">
        <f t="shared" si="1"/>
        <v>10</v>
      </c>
      <c r="I37" s="10" t="str">
        <f t="shared" si="2"/>
        <v>Do: خرید گیاه</v>
      </c>
      <c r="J37" s="39" t="s">
        <v>155</v>
      </c>
      <c r="K37" s="26" t="s">
        <v>99</v>
      </c>
    </row>
    <row r="38" spans="1:11">
      <c r="A38" s="9" t="s">
        <v>196</v>
      </c>
      <c r="B38" s="10" t="s">
        <v>197</v>
      </c>
      <c r="C38" s="10" t="s">
        <v>198</v>
      </c>
      <c r="D38" s="14">
        <v>10</v>
      </c>
      <c r="E38" s="17" t="b">
        <v>0</v>
      </c>
      <c r="F38" s="20"/>
      <c r="G38" s="23">
        <f t="shared" si="0"/>
        <v>0</v>
      </c>
      <c r="H38" s="14">
        <f t="shared" si="1"/>
        <v>10</v>
      </c>
      <c r="I38" s="10" t="str">
        <f t="shared" si="2"/>
        <v>Do: نمایش کوئست‌ها</v>
      </c>
      <c r="J38" s="39" t="s">
        <v>155</v>
      </c>
      <c r="K38" s="26" t="s">
        <v>101</v>
      </c>
    </row>
    <row r="39" spans="1:11">
      <c r="A39" s="9" t="s">
        <v>196</v>
      </c>
      <c r="B39" s="10" t="s">
        <v>197</v>
      </c>
      <c r="C39" s="10" t="s">
        <v>199</v>
      </c>
      <c r="D39" s="14">
        <v>30</v>
      </c>
      <c r="E39" s="17" t="b">
        <v>0</v>
      </c>
      <c r="F39" s="20"/>
      <c r="G39" s="23">
        <f t="shared" si="0"/>
        <v>0</v>
      </c>
      <c r="H39" s="14">
        <f t="shared" si="1"/>
        <v>30</v>
      </c>
      <c r="I39" s="10" t="str">
        <f t="shared" si="2"/>
        <v>Do: نمایش میزان پیشرفت</v>
      </c>
      <c r="J39" s="39" t="s">
        <v>155</v>
      </c>
      <c r="K39" s="26" t="s">
        <v>103</v>
      </c>
    </row>
    <row r="40" spans="1:11">
      <c r="A40" s="9" t="s">
        <v>196</v>
      </c>
      <c r="B40" s="10" t="s">
        <v>197</v>
      </c>
      <c r="C40" s="10" t="s">
        <v>200</v>
      </c>
      <c r="D40" s="14">
        <v>5</v>
      </c>
      <c r="E40" s="17" t="b">
        <v>0</v>
      </c>
      <c r="F40" s="20"/>
      <c r="G40" s="23">
        <f t="shared" si="0"/>
        <v>0</v>
      </c>
      <c r="H40" s="14">
        <f t="shared" si="1"/>
        <v>5</v>
      </c>
      <c r="I40" s="10" t="str">
        <f t="shared" si="2"/>
        <v>Do: نمایش مینی‌گیم‌ها</v>
      </c>
      <c r="J40" s="39" t="s">
        <v>155</v>
      </c>
      <c r="K40" s="26" t="s">
        <v>106</v>
      </c>
    </row>
    <row r="41" spans="1:11">
      <c r="A41" s="9" t="s">
        <v>196</v>
      </c>
      <c r="B41" s="10" t="s">
        <v>201</v>
      </c>
      <c r="C41" s="10" t="s">
        <v>202</v>
      </c>
      <c r="D41" s="14">
        <v>200</v>
      </c>
      <c r="E41" s="17" t="b">
        <v>0</v>
      </c>
      <c r="F41" s="20"/>
      <c r="G41" s="23">
        <f t="shared" si="0"/>
        <v>0</v>
      </c>
      <c r="H41" s="14">
        <f t="shared" si="1"/>
        <v>200</v>
      </c>
      <c r="I41" s="10" t="str">
        <f t="shared" si="2"/>
        <v>Do: عملکرد کوئست‌ها</v>
      </c>
      <c r="J41" s="39" t="s">
        <v>155</v>
      </c>
      <c r="K41" s="26" t="s">
        <v>108</v>
      </c>
    </row>
    <row r="42" spans="1:11">
      <c r="A42" s="9" t="s">
        <v>196</v>
      </c>
      <c r="B42" s="10" t="s">
        <v>201</v>
      </c>
      <c r="C42" s="10" t="s">
        <v>203</v>
      </c>
      <c r="D42" s="14">
        <v>25</v>
      </c>
      <c r="E42" s="17" t="b">
        <v>0</v>
      </c>
      <c r="F42" s="20"/>
      <c r="G42" s="23">
        <f t="shared" si="0"/>
        <v>0</v>
      </c>
      <c r="H42" s="14">
        <f t="shared" si="1"/>
        <v>25</v>
      </c>
      <c r="I42" s="10" t="str">
        <f t="shared" si="2"/>
        <v>Do: دریافت جایزه‌ی کوئست</v>
      </c>
      <c r="J42" s="39" t="s">
        <v>155</v>
      </c>
      <c r="K42" s="26" t="s">
        <v>110</v>
      </c>
    </row>
    <row r="43" spans="1:11">
      <c r="A43" s="9" t="s">
        <v>196</v>
      </c>
      <c r="B43" s="10" t="s">
        <v>201</v>
      </c>
      <c r="C43" s="10" t="s">
        <v>204</v>
      </c>
      <c r="D43" s="14">
        <v>15</v>
      </c>
      <c r="E43" s="17" t="b">
        <v>0</v>
      </c>
      <c r="F43" s="20"/>
      <c r="G43" s="23">
        <f t="shared" ref="G43:G74" si="3">IF(E43,D43,IF(F43="",0,MIN(MAX(F43,0),D43)))</f>
        <v>0</v>
      </c>
      <c r="H43" s="14">
        <f t="shared" ref="H43:H74" si="4">MAX(D43-G43,0)</f>
        <v>15</v>
      </c>
      <c r="I43" s="10" t="str">
        <f t="shared" ref="I43:I74" si="5">IF(D43=0,"No points attached",IF(G43=D43,"Done",IF(G43=0,"Do: "&amp;C43,"Finish: "&amp;C43&amp;" ("&amp;TEXT(H43,"0.##")&amp;" pts left)")))</f>
        <v>Do: اولویت کوئست</v>
      </c>
      <c r="J43" s="39" t="s">
        <v>155</v>
      </c>
      <c r="K43" s="26" t="s">
        <v>113</v>
      </c>
    </row>
    <row r="44" spans="1:11">
      <c r="A44" s="9" t="s">
        <v>205</v>
      </c>
      <c r="B44" s="10" t="s">
        <v>206</v>
      </c>
      <c r="C44" s="10" t="s">
        <v>207</v>
      </c>
      <c r="D44" s="14">
        <v>75</v>
      </c>
      <c r="E44" s="17" t="b">
        <v>0</v>
      </c>
      <c r="F44" s="20"/>
      <c r="G44" s="23">
        <f t="shared" si="3"/>
        <v>0</v>
      </c>
      <c r="H44" s="14">
        <f t="shared" si="4"/>
        <v>75</v>
      </c>
      <c r="I44" s="10" t="str">
        <f t="shared" si="5"/>
        <v>Do: مصر باستان</v>
      </c>
      <c r="J44" s="39" t="s">
        <v>155</v>
      </c>
      <c r="K44" s="26" t="s">
        <v>115</v>
      </c>
    </row>
    <row r="45" spans="1:11">
      <c r="A45" s="9" t="s">
        <v>205</v>
      </c>
      <c r="B45" s="10" t="s">
        <v>206</v>
      </c>
      <c r="C45" s="10" t="s">
        <v>208</v>
      </c>
      <c r="D45" s="14">
        <v>100</v>
      </c>
      <c r="E45" s="17" t="b">
        <v>0</v>
      </c>
      <c r="F45" s="20"/>
      <c r="G45" s="23">
        <f t="shared" si="3"/>
        <v>0</v>
      </c>
      <c r="H45" s="14">
        <f t="shared" si="4"/>
        <v>100</v>
      </c>
      <c r="I45" s="10" t="str">
        <f t="shared" si="5"/>
        <v>Do: غارهای یخی</v>
      </c>
      <c r="J45" s="39" t="s">
        <v>155</v>
      </c>
      <c r="K45" s="26" t="s">
        <v>116</v>
      </c>
    </row>
    <row r="46" spans="1:11">
      <c r="A46" s="9" t="s">
        <v>205</v>
      </c>
      <c r="B46" s="10" t="s">
        <v>206</v>
      </c>
      <c r="C46" s="10" t="s">
        <v>209</v>
      </c>
      <c r="D46" s="14">
        <v>100</v>
      </c>
      <c r="E46" s="17" t="b">
        <v>0</v>
      </c>
      <c r="F46" s="20"/>
      <c r="G46" s="23">
        <f t="shared" si="3"/>
        <v>0</v>
      </c>
      <c r="H46" s="14">
        <f t="shared" si="4"/>
        <v>100</v>
      </c>
      <c r="I46" s="10" t="str">
        <f t="shared" si="5"/>
        <v>Do: قرون وسطی</v>
      </c>
      <c r="J46" s="39" t="s">
        <v>155</v>
      </c>
      <c r="K46" s="26" t="s">
        <v>119</v>
      </c>
    </row>
    <row r="47" spans="1:11">
      <c r="A47" s="9" t="s">
        <v>205</v>
      </c>
      <c r="B47" s="10" t="s">
        <v>206</v>
      </c>
      <c r="C47" s="10" t="s">
        <v>210</v>
      </c>
      <c r="D47" s="14">
        <v>100</v>
      </c>
      <c r="E47" s="17" t="b">
        <v>0</v>
      </c>
      <c r="F47" s="20"/>
      <c r="G47" s="23">
        <f t="shared" si="3"/>
        <v>0</v>
      </c>
      <c r="H47" s="14">
        <f t="shared" si="4"/>
        <v>100</v>
      </c>
      <c r="I47" s="10" t="str">
        <f t="shared" si="5"/>
        <v>Do: ساحل موج بزرگ</v>
      </c>
      <c r="J47" s="39" t="s">
        <v>155</v>
      </c>
      <c r="K47" s="26" t="s">
        <v>121</v>
      </c>
    </row>
    <row r="48" spans="1:11" ht="27.6">
      <c r="A48" s="9" t="s">
        <v>205</v>
      </c>
      <c r="B48" s="10" t="s">
        <v>211</v>
      </c>
      <c r="C48" s="10" t="s">
        <v>212</v>
      </c>
      <c r="D48" s="14">
        <v>40</v>
      </c>
      <c r="E48" s="17" t="b">
        <v>0</v>
      </c>
      <c r="F48" s="20"/>
      <c r="G48" s="23">
        <f t="shared" si="3"/>
        <v>0</v>
      </c>
      <c r="H48" s="14">
        <f t="shared" si="4"/>
        <v>40</v>
      </c>
      <c r="I48" s="10" t="str">
        <f t="shared" si="5"/>
        <v>Do: پیاده سازی حداقل 4 تا از مراحل ویژه پیشنهاد شده (هرکدام 40 نمره)</v>
      </c>
      <c r="J48" s="39" t="s">
        <v>155</v>
      </c>
      <c r="K48" s="26" t="s">
        <v>123</v>
      </c>
    </row>
    <row r="49" spans="1:11">
      <c r="A49" s="9" t="s">
        <v>205</v>
      </c>
      <c r="B49" s="10" t="s">
        <v>211</v>
      </c>
      <c r="C49" s="10" t="s">
        <v>211</v>
      </c>
      <c r="D49" s="14">
        <v>40</v>
      </c>
      <c r="E49" s="17" t="b">
        <v>0</v>
      </c>
      <c r="F49" s="20"/>
      <c r="G49" s="23">
        <f t="shared" si="3"/>
        <v>0</v>
      </c>
      <c r="H49" s="14">
        <f t="shared" si="4"/>
        <v>40</v>
      </c>
      <c r="I49" s="10" t="str">
        <f t="shared" si="5"/>
        <v>Do: مراحل ویژه</v>
      </c>
      <c r="J49" s="39" t="s">
        <v>155</v>
      </c>
      <c r="K49" s="26" t="s">
        <v>126</v>
      </c>
    </row>
    <row r="50" spans="1:11">
      <c r="A50" s="9" t="s">
        <v>205</v>
      </c>
      <c r="B50" s="10" t="s">
        <v>211</v>
      </c>
      <c r="C50" s="10" t="s">
        <v>211</v>
      </c>
      <c r="D50" s="14">
        <v>40</v>
      </c>
      <c r="E50" s="17" t="b">
        <v>0</v>
      </c>
      <c r="F50" s="20"/>
      <c r="G50" s="23">
        <f t="shared" si="3"/>
        <v>0</v>
      </c>
      <c r="H50" s="14">
        <f t="shared" si="4"/>
        <v>40</v>
      </c>
      <c r="I50" s="10" t="str">
        <f t="shared" si="5"/>
        <v>Do: مراحل ویژه</v>
      </c>
      <c r="J50" s="39" t="s">
        <v>155</v>
      </c>
      <c r="K50" s="26" t="s">
        <v>128</v>
      </c>
    </row>
    <row r="51" spans="1:11">
      <c r="A51" s="9" t="s">
        <v>205</v>
      </c>
      <c r="B51" s="10" t="s">
        <v>211</v>
      </c>
      <c r="C51" s="10" t="s">
        <v>211</v>
      </c>
      <c r="D51" s="14">
        <v>40</v>
      </c>
      <c r="E51" s="17" t="b">
        <v>0</v>
      </c>
      <c r="F51" s="20"/>
      <c r="G51" s="23">
        <f t="shared" si="3"/>
        <v>0</v>
      </c>
      <c r="H51" s="14">
        <f t="shared" si="4"/>
        <v>40</v>
      </c>
      <c r="I51" s="10" t="str">
        <f t="shared" si="5"/>
        <v>Do: مراحل ویژه</v>
      </c>
      <c r="J51" s="39" t="s">
        <v>155</v>
      </c>
      <c r="K51" s="26" t="s">
        <v>131</v>
      </c>
    </row>
    <row r="52" spans="1:11">
      <c r="A52" s="9" t="s">
        <v>205</v>
      </c>
      <c r="B52" s="10" t="s">
        <v>211</v>
      </c>
      <c r="C52" s="10" t="s">
        <v>213</v>
      </c>
      <c r="D52" s="14">
        <v>8</v>
      </c>
      <c r="E52" s="17" t="b">
        <v>0</v>
      </c>
      <c r="F52" s="20"/>
      <c r="G52" s="23">
        <f t="shared" si="3"/>
        <v>0</v>
      </c>
      <c r="H52" s="14">
        <f t="shared" si="4"/>
        <v>8</v>
      </c>
      <c r="I52" s="10" t="str">
        <f t="shared" si="5"/>
        <v>Do: مرحله‌ی بیشتر (امتیازی)</v>
      </c>
      <c r="J52" s="39" t="s">
        <v>156</v>
      </c>
      <c r="K52" s="26" t="s">
        <v>133</v>
      </c>
    </row>
    <row r="53" spans="1:11">
      <c r="A53" s="9" t="s">
        <v>205</v>
      </c>
      <c r="B53" s="10" t="s">
        <v>211</v>
      </c>
      <c r="C53" s="10" t="s">
        <v>214</v>
      </c>
      <c r="D53" s="14">
        <v>20</v>
      </c>
      <c r="E53" s="17" t="b">
        <v>0</v>
      </c>
      <c r="F53" s="20"/>
      <c r="G53" s="23">
        <f t="shared" si="3"/>
        <v>0</v>
      </c>
      <c r="H53" s="14">
        <f t="shared" si="4"/>
        <v>20</v>
      </c>
      <c r="I53" s="10" t="str">
        <f t="shared" si="5"/>
        <v>Do: وجود مراحل ویژه در adventure</v>
      </c>
      <c r="J53" s="39" t="s">
        <v>155</v>
      </c>
      <c r="K53" s="26" t="s">
        <v>135</v>
      </c>
    </row>
    <row r="54" spans="1:11">
      <c r="A54" s="9" t="s">
        <v>215</v>
      </c>
      <c r="B54" s="10" t="s">
        <v>216</v>
      </c>
      <c r="C54" s="10" t="s">
        <v>217</v>
      </c>
      <c r="D54" s="14">
        <v>250</v>
      </c>
      <c r="E54" s="17" t="b">
        <v>0</v>
      </c>
      <c r="F54" s="20"/>
      <c r="G54" s="23">
        <f t="shared" si="3"/>
        <v>0</v>
      </c>
      <c r="H54" s="14">
        <f t="shared" si="4"/>
        <v>250</v>
      </c>
      <c r="I54" s="10" t="str">
        <f t="shared" si="5"/>
        <v>Do: وجود مکانیزم</v>
      </c>
      <c r="J54" s="39" t="s">
        <v>155</v>
      </c>
      <c r="K54" s="26" t="s">
        <v>138</v>
      </c>
    </row>
    <row r="55" spans="1:11">
      <c r="A55" s="9" t="s">
        <v>215</v>
      </c>
      <c r="B55" s="10" t="s">
        <v>218</v>
      </c>
      <c r="C55" s="10" t="s">
        <v>219</v>
      </c>
      <c r="D55" s="14">
        <v>10</v>
      </c>
      <c r="E55" s="17" t="b">
        <v>0</v>
      </c>
      <c r="F55" s="20"/>
      <c r="G55" s="23">
        <f t="shared" si="3"/>
        <v>0</v>
      </c>
      <c r="H55" s="14">
        <f t="shared" si="4"/>
        <v>10</v>
      </c>
      <c r="I55" s="10" t="str">
        <f t="shared" si="5"/>
        <v>Do: مشاهده میزان خورشید فعلی</v>
      </c>
      <c r="J55" s="39" t="s">
        <v>155</v>
      </c>
      <c r="K55" s="26" t="s">
        <v>140</v>
      </c>
    </row>
    <row r="56" spans="1:11">
      <c r="A56" s="9" t="s">
        <v>215</v>
      </c>
      <c r="B56" s="10" t="s">
        <v>218</v>
      </c>
      <c r="C56" s="10" t="s">
        <v>220</v>
      </c>
      <c r="D56" s="14">
        <v>25</v>
      </c>
      <c r="E56" s="17" t="b">
        <v>0</v>
      </c>
      <c r="F56" s="20"/>
      <c r="G56" s="23">
        <f t="shared" si="3"/>
        <v>0</v>
      </c>
      <c r="H56" s="14">
        <f t="shared" si="4"/>
        <v>25</v>
      </c>
      <c r="I56" s="10" t="str">
        <f t="shared" si="5"/>
        <v>Do: برداشتن خورشید</v>
      </c>
      <c r="J56" s="39" t="s">
        <v>155</v>
      </c>
      <c r="K56" s="26" t="s">
        <v>143</v>
      </c>
    </row>
    <row r="57" spans="1:11">
      <c r="A57" s="9" t="s">
        <v>215</v>
      </c>
      <c r="B57" s="10" t="s">
        <v>218</v>
      </c>
      <c r="C57" s="10" t="s">
        <v>221</v>
      </c>
      <c r="D57" s="14">
        <v>40</v>
      </c>
      <c r="E57" s="17" t="b">
        <v>0</v>
      </c>
      <c r="F57" s="20"/>
      <c r="G57" s="23">
        <f t="shared" si="3"/>
        <v>0</v>
      </c>
      <c r="H57" s="14">
        <f t="shared" si="4"/>
        <v>40</v>
      </c>
      <c r="I57" s="10" t="str">
        <f t="shared" si="5"/>
        <v>Do: سقوط خورشید از آسمان</v>
      </c>
      <c r="J57" s="39" t="s">
        <v>155</v>
      </c>
      <c r="K57" s="26" t="s">
        <v>145</v>
      </c>
    </row>
    <row r="58" spans="1:11">
      <c r="A58" s="9" t="s">
        <v>215</v>
      </c>
      <c r="B58" s="10" t="s">
        <v>218</v>
      </c>
      <c r="C58" s="10" t="s">
        <v>222</v>
      </c>
      <c r="D58" s="14">
        <v>10</v>
      </c>
      <c r="E58" s="17" t="b">
        <v>0</v>
      </c>
      <c r="F58" s="20"/>
      <c r="G58" s="23">
        <f t="shared" si="3"/>
        <v>0</v>
      </c>
      <c r="H58" s="14">
        <f t="shared" si="4"/>
        <v>10</v>
      </c>
      <c r="I58" s="10" t="str">
        <f t="shared" si="5"/>
        <v>Do: خورشید ویژه</v>
      </c>
      <c r="J58" s="39" t="s">
        <v>155</v>
      </c>
      <c r="K58" s="26" t="s">
        <v>148</v>
      </c>
    </row>
    <row r="59" spans="1:11">
      <c r="A59" s="9" t="s">
        <v>215</v>
      </c>
      <c r="B59" s="10" t="s">
        <v>218</v>
      </c>
      <c r="C59" s="10" t="s">
        <v>223</v>
      </c>
      <c r="D59" s="14">
        <v>30</v>
      </c>
      <c r="E59" s="17" t="b">
        <v>0</v>
      </c>
      <c r="F59" s="20"/>
      <c r="G59" s="23">
        <f t="shared" si="3"/>
        <v>0</v>
      </c>
      <c r="H59" s="14">
        <f t="shared" si="4"/>
        <v>30</v>
      </c>
      <c r="I59" s="10" t="str">
        <f t="shared" si="5"/>
        <v>Do: خورشید رادیواکتیو</v>
      </c>
      <c r="J59" s="39" t="s">
        <v>155</v>
      </c>
      <c r="K59" s="26" t="s">
        <v>150</v>
      </c>
    </row>
    <row r="60" spans="1:11">
      <c r="A60" s="9" t="s">
        <v>215</v>
      </c>
      <c r="B60" s="10" t="s">
        <v>218</v>
      </c>
      <c r="C60" s="10" t="s">
        <v>224</v>
      </c>
      <c r="D60" s="14">
        <v>10</v>
      </c>
      <c r="E60" s="17" t="b">
        <v>0</v>
      </c>
      <c r="F60" s="20"/>
      <c r="G60" s="23">
        <f t="shared" si="3"/>
        <v>0</v>
      </c>
      <c r="H60" s="14">
        <f t="shared" si="4"/>
        <v>10</v>
      </c>
      <c r="I60" s="10" t="str">
        <f t="shared" si="5"/>
        <v>Do: پیغام سقوط خورشید از آسمان</v>
      </c>
      <c r="J60" s="39" t="s">
        <v>155</v>
      </c>
      <c r="K60" s="26" t="s">
        <v>153</v>
      </c>
    </row>
    <row r="61" spans="1:11">
      <c r="A61" s="9" t="s">
        <v>215</v>
      </c>
      <c r="B61" s="10" t="s">
        <v>218</v>
      </c>
      <c r="C61" s="10" t="s">
        <v>225</v>
      </c>
      <c r="D61" s="14">
        <v>30</v>
      </c>
      <c r="E61" s="17" t="b">
        <v>0</v>
      </c>
      <c r="F61" s="20"/>
      <c r="G61" s="23">
        <f t="shared" si="3"/>
        <v>0</v>
      </c>
      <c r="H61" s="14">
        <f t="shared" si="4"/>
        <v>30</v>
      </c>
      <c r="I61" s="10" t="str">
        <f t="shared" si="5"/>
        <v>Do: cheat code</v>
      </c>
      <c r="J61" s="39" t="s">
        <v>155</v>
      </c>
      <c r="K61" s="26" t="s">
        <v>226</v>
      </c>
    </row>
    <row r="62" spans="1:11">
      <c r="A62" s="9" t="s">
        <v>215</v>
      </c>
      <c r="B62" s="10" t="s">
        <v>227</v>
      </c>
      <c r="C62" s="10" t="s">
        <v>228</v>
      </c>
      <c r="D62" s="14">
        <v>40</v>
      </c>
      <c r="E62" s="17" t="b">
        <v>0</v>
      </c>
      <c r="F62" s="20"/>
      <c r="G62" s="23">
        <f t="shared" si="3"/>
        <v>0</v>
      </c>
      <c r="H62" s="14">
        <f t="shared" si="4"/>
        <v>40</v>
      </c>
      <c r="I62" s="10" t="str">
        <f t="shared" si="5"/>
        <v>Do: موج‌های زامبی</v>
      </c>
      <c r="J62" s="39" t="s">
        <v>155</v>
      </c>
      <c r="K62" s="26" t="s">
        <v>229</v>
      </c>
    </row>
    <row r="63" spans="1:11">
      <c r="A63" s="9" t="s">
        <v>215</v>
      </c>
      <c r="B63" s="10" t="s">
        <v>227</v>
      </c>
      <c r="C63" s="10" t="s">
        <v>230</v>
      </c>
      <c r="D63" s="14">
        <v>50</v>
      </c>
      <c r="E63" s="17" t="b">
        <v>0</v>
      </c>
      <c r="F63" s="20"/>
      <c r="G63" s="23">
        <f t="shared" si="3"/>
        <v>0</v>
      </c>
      <c r="H63" s="14">
        <f t="shared" si="4"/>
        <v>50</v>
      </c>
      <c r="I63" s="10" t="str">
        <f t="shared" si="5"/>
        <v>Do: سختی موج</v>
      </c>
      <c r="J63" s="39" t="s">
        <v>155</v>
      </c>
      <c r="K63" s="26" t="s">
        <v>231</v>
      </c>
    </row>
    <row r="64" spans="1:11">
      <c r="A64" s="9" t="s">
        <v>215</v>
      </c>
      <c r="B64" s="10" t="s">
        <v>227</v>
      </c>
      <c r="C64" s="10" t="s">
        <v>232</v>
      </c>
      <c r="D64" s="14">
        <v>20</v>
      </c>
      <c r="E64" s="17" t="b">
        <v>0</v>
      </c>
      <c r="F64" s="20"/>
      <c r="G64" s="23">
        <f t="shared" si="3"/>
        <v>0</v>
      </c>
      <c r="H64" s="14">
        <f t="shared" si="4"/>
        <v>20</v>
      </c>
      <c r="I64" s="10" t="str">
        <f t="shared" si="5"/>
        <v>Do: پیغام موج</v>
      </c>
      <c r="J64" s="39" t="s">
        <v>155</v>
      </c>
      <c r="K64" s="26" t="s">
        <v>233</v>
      </c>
    </row>
    <row r="65" spans="1:11">
      <c r="A65" s="9" t="s">
        <v>215</v>
      </c>
      <c r="B65" s="10" t="s">
        <v>234</v>
      </c>
      <c r="C65" s="10" t="s">
        <v>235</v>
      </c>
      <c r="D65" s="14">
        <v>50</v>
      </c>
      <c r="E65" s="17" t="b">
        <v>0</v>
      </c>
      <c r="F65" s="20"/>
      <c r="G65" s="23">
        <f t="shared" si="3"/>
        <v>0</v>
      </c>
      <c r="H65" s="14">
        <f t="shared" si="4"/>
        <v>50</v>
      </c>
      <c r="I65" s="10" t="str">
        <f t="shared" si="5"/>
        <v>Do: مکانیزم خوردن گیاه</v>
      </c>
      <c r="J65" s="39" t="s">
        <v>155</v>
      </c>
      <c r="K65" s="26" t="s">
        <v>236</v>
      </c>
    </row>
    <row r="66" spans="1:11">
      <c r="A66" s="9" t="s">
        <v>215</v>
      </c>
      <c r="B66" s="10" t="s">
        <v>234</v>
      </c>
      <c r="C66" s="10" t="s">
        <v>237</v>
      </c>
      <c r="D66" s="14">
        <v>50</v>
      </c>
      <c r="E66" s="17" t="b">
        <v>0</v>
      </c>
      <c r="F66" s="20"/>
      <c r="G66" s="23">
        <f t="shared" si="3"/>
        <v>0</v>
      </c>
      <c r="H66" s="14">
        <f t="shared" si="4"/>
        <v>50</v>
      </c>
      <c r="I66" s="10" t="str">
        <f t="shared" si="5"/>
        <v>Do: سایر استراتژی حمله به گیاهان</v>
      </c>
      <c r="J66" s="39" t="s">
        <v>155</v>
      </c>
      <c r="K66" s="26" t="s">
        <v>238</v>
      </c>
    </row>
    <row r="67" spans="1:11">
      <c r="A67" s="9" t="s">
        <v>215</v>
      </c>
      <c r="B67" s="10" t="s">
        <v>234</v>
      </c>
      <c r="C67" s="10" t="s">
        <v>239</v>
      </c>
      <c r="D67" s="14">
        <v>30</v>
      </c>
      <c r="E67" s="17" t="b">
        <v>0</v>
      </c>
      <c r="F67" s="20"/>
      <c r="G67" s="23">
        <f t="shared" si="3"/>
        <v>0</v>
      </c>
      <c r="H67" s="14">
        <f t="shared" si="4"/>
        <v>30</v>
      </c>
      <c r="I67" s="10" t="str">
        <f t="shared" si="5"/>
        <v>Do: خورده شدن توسط چند زامبی</v>
      </c>
      <c r="J67" s="39" t="s">
        <v>155</v>
      </c>
      <c r="K67" s="26" t="s">
        <v>240</v>
      </c>
    </row>
    <row r="68" spans="1:11">
      <c r="A68" s="9" t="s">
        <v>215</v>
      </c>
      <c r="B68" s="10" t="s">
        <v>241</v>
      </c>
      <c r="C68" s="10" t="s">
        <v>242</v>
      </c>
      <c r="D68" s="14">
        <v>20</v>
      </c>
      <c r="E68" s="17" t="b">
        <v>0</v>
      </c>
      <c r="F68" s="20"/>
      <c r="G68" s="23">
        <f t="shared" si="3"/>
        <v>0</v>
      </c>
      <c r="H68" s="14">
        <f t="shared" si="4"/>
        <v>20</v>
      </c>
      <c r="I68" s="10" t="str">
        <f t="shared" si="5"/>
        <v>Do: امکان کاشت گیاه</v>
      </c>
      <c r="J68" s="39" t="s">
        <v>155</v>
      </c>
      <c r="K68" s="26" t="s">
        <v>243</v>
      </c>
    </row>
    <row r="69" spans="1:11">
      <c r="A69" s="9" t="s">
        <v>215</v>
      </c>
      <c r="B69" s="10" t="s">
        <v>241</v>
      </c>
      <c r="C69" s="10" t="s">
        <v>244</v>
      </c>
      <c r="D69" s="14">
        <v>10</v>
      </c>
      <c r="E69" s="17" t="b">
        <v>0</v>
      </c>
      <c r="F69" s="20"/>
      <c r="G69" s="23">
        <f t="shared" si="3"/>
        <v>0</v>
      </c>
      <c r="H69" s="14">
        <f t="shared" si="4"/>
        <v>10</v>
      </c>
      <c r="I69" s="10" t="str">
        <f t="shared" si="5"/>
        <v>Do: مشاهده تعداد غذای گیاه</v>
      </c>
      <c r="J69" s="39" t="s">
        <v>155</v>
      </c>
      <c r="K69" s="26" t="s">
        <v>245</v>
      </c>
    </row>
    <row r="70" spans="1:11">
      <c r="A70" s="9" t="s">
        <v>215</v>
      </c>
      <c r="B70" s="10" t="s">
        <v>241</v>
      </c>
      <c r="C70" s="10" t="s">
        <v>246</v>
      </c>
      <c r="D70" s="14">
        <v>10</v>
      </c>
      <c r="E70" s="17" t="b">
        <v>0</v>
      </c>
      <c r="F70" s="20"/>
      <c r="G70" s="23">
        <f t="shared" si="3"/>
        <v>0</v>
      </c>
      <c r="H70" s="14">
        <f t="shared" si="4"/>
        <v>10</v>
      </c>
      <c r="I70" s="10" t="str">
        <f t="shared" si="5"/>
        <v>Do: امکان دادن غذای گیاه به گیاهان</v>
      </c>
      <c r="J70" s="39" t="s">
        <v>155</v>
      </c>
      <c r="K70" s="26" t="s">
        <v>247</v>
      </c>
    </row>
    <row r="71" spans="1:11">
      <c r="A71" s="9" t="s">
        <v>215</v>
      </c>
      <c r="B71" s="10" t="s">
        <v>241</v>
      </c>
      <c r="C71" s="10" t="s">
        <v>248</v>
      </c>
      <c r="D71" s="14">
        <v>25</v>
      </c>
      <c r="E71" s="17" t="b">
        <v>0</v>
      </c>
      <c r="F71" s="20"/>
      <c r="G71" s="23">
        <f t="shared" si="3"/>
        <v>0</v>
      </c>
      <c r="H71" s="14">
        <f t="shared" si="4"/>
        <v>25</v>
      </c>
      <c r="I71" s="10" t="str">
        <f t="shared" si="5"/>
        <v>Do: امکان کندن گیاه با بیل</v>
      </c>
      <c r="J71" s="39" t="s">
        <v>155</v>
      </c>
      <c r="K71" s="26" t="s">
        <v>249</v>
      </c>
    </row>
    <row r="72" spans="1:11">
      <c r="A72" s="9" t="s">
        <v>215</v>
      </c>
      <c r="B72" s="10" t="s">
        <v>241</v>
      </c>
      <c r="C72" s="10" t="s">
        <v>250</v>
      </c>
      <c r="D72" s="14">
        <v>50</v>
      </c>
      <c r="E72" s="17" t="b">
        <v>0</v>
      </c>
      <c r="F72" s="20"/>
      <c r="G72" s="23">
        <f t="shared" si="3"/>
        <v>0</v>
      </c>
      <c r="H72" s="14">
        <f t="shared" si="4"/>
        <v>50</v>
      </c>
      <c r="I72" s="10" t="str">
        <f t="shared" si="5"/>
        <v>Do: ماشین چمن‌زنی</v>
      </c>
      <c r="J72" s="39" t="s">
        <v>155</v>
      </c>
      <c r="K72" s="26" t="s">
        <v>251</v>
      </c>
    </row>
    <row r="73" spans="1:11">
      <c r="A73" s="9" t="s">
        <v>215</v>
      </c>
      <c r="B73" s="10" t="s">
        <v>241</v>
      </c>
      <c r="C73" s="10" t="s">
        <v>252</v>
      </c>
      <c r="D73" s="14">
        <v>50</v>
      </c>
      <c r="E73" s="17" t="b">
        <v>0</v>
      </c>
      <c r="F73" s="20"/>
      <c r="G73" s="23">
        <f t="shared" si="3"/>
        <v>0</v>
      </c>
      <c r="H73" s="14">
        <f t="shared" si="4"/>
        <v>50</v>
      </c>
      <c r="I73" s="10" t="str">
        <f t="shared" si="5"/>
        <v>Do: مشاهده محیط باغ</v>
      </c>
      <c r="J73" s="39" t="s">
        <v>155</v>
      </c>
      <c r="K73" s="26" t="s">
        <v>253</v>
      </c>
    </row>
    <row r="74" spans="1:11">
      <c r="A74" s="9" t="s">
        <v>215</v>
      </c>
      <c r="B74" s="10" t="s">
        <v>241</v>
      </c>
      <c r="C74" s="10" t="s">
        <v>254</v>
      </c>
      <c r="D74" s="14">
        <v>30</v>
      </c>
      <c r="E74" s="17" t="b">
        <v>0</v>
      </c>
      <c r="F74" s="20"/>
      <c r="G74" s="23">
        <f t="shared" si="3"/>
        <v>0</v>
      </c>
      <c r="H74" s="14">
        <f t="shared" si="4"/>
        <v>30</v>
      </c>
      <c r="I74" s="10" t="str">
        <f t="shared" si="5"/>
        <v>Do: مشاهده جزئیات مربوط به یک خانه</v>
      </c>
      <c r="J74" s="39" t="s">
        <v>155</v>
      </c>
      <c r="K74" s="26" t="s">
        <v>255</v>
      </c>
    </row>
    <row r="75" spans="1:11">
      <c r="A75" s="9" t="s">
        <v>215</v>
      </c>
      <c r="B75" s="10" t="s">
        <v>241</v>
      </c>
      <c r="C75" s="10" t="s">
        <v>225</v>
      </c>
      <c r="D75" s="14">
        <v>50</v>
      </c>
      <c r="E75" s="17" t="b">
        <v>0</v>
      </c>
      <c r="F75" s="20"/>
      <c r="G75" s="23">
        <f t="shared" ref="G75:G106" si="6">IF(E75,D75,IF(F75="",0,MIN(MAX(F75,0),D75)))</f>
        <v>0</v>
      </c>
      <c r="H75" s="14">
        <f t="shared" ref="H75:H106" si="7">MAX(D75-G75,0)</f>
        <v>50</v>
      </c>
      <c r="I75" s="10" t="str">
        <f t="shared" ref="I75:I106" si="8">IF(D75=0,"No points attached",IF(G75=D75,"Done",IF(G75=0,"Do: "&amp;C75,"Finish: "&amp;C75&amp;" ("&amp;TEXT(H75,"0.##")&amp;" pts left)")))</f>
        <v>Do: cheat code</v>
      </c>
      <c r="J75" s="39" t="s">
        <v>155</v>
      </c>
      <c r="K75" s="26" t="s">
        <v>256</v>
      </c>
    </row>
    <row r="76" spans="1:11">
      <c r="A76" s="9" t="s">
        <v>215</v>
      </c>
      <c r="B76" s="10" t="s">
        <v>257</v>
      </c>
      <c r="C76" s="10" t="s">
        <v>258</v>
      </c>
      <c r="D76" s="14">
        <v>10</v>
      </c>
      <c r="E76" s="17" t="b">
        <v>0</v>
      </c>
      <c r="F76" s="20"/>
      <c r="G76" s="23">
        <f t="shared" si="6"/>
        <v>0</v>
      </c>
      <c r="H76" s="14">
        <f t="shared" si="7"/>
        <v>10</v>
      </c>
      <c r="I76" s="10" t="str">
        <f t="shared" si="8"/>
        <v>Do: مشاهده لیست گیاهان</v>
      </c>
      <c r="J76" s="39" t="s">
        <v>155</v>
      </c>
      <c r="K76" s="26" t="s">
        <v>259</v>
      </c>
    </row>
    <row r="77" spans="1:11">
      <c r="A77" s="9" t="s">
        <v>215</v>
      </c>
      <c r="B77" s="10" t="s">
        <v>257</v>
      </c>
      <c r="C77" s="10" t="s">
        <v>260</v>
      </c>
      <c r="D77" s="14">
        <v>20</v>
      </c>
      <c r="E77" s="17" t="b">
        <v>0</v>
      </c>
      <c r="F77" s="20"/>
      <c r="G77" s="23">
        <f t="shared" si="6"/>
        <v>0</v>
      </c>
      <c r="H77" s="14">
        <f t="shared" si="7"/>
        <v>20</v>
      </c>
      <c r="I77" s="10" t="str">
        <f t="shared" si="8"/>
        <v>Do: انتخاب یا عدم انتخاب گیاه</v>
      </c>
      <c r="J77" s="39" t="s">
        <v>155</v>
      </c>
      <c r="K77" s="26" t="s">
        <v>261</v>
      </c>
    </row>
    <row r="78" spans="1:11">
      <c r="A78" s="9" t="s">
        <v>215</v>
      </c>
      <c r="B78" s="10" t="s">
        <v>257</v>
      </c>
      <c r="C78" s="10" t="s">
        <v>262</v>
      </c>
      <c r="D78" s="14">
        <v>20</v>
      </c>
      <c r="E78" s="17" t="b">
        <v>0</v>
      </c>
      <c r="F78" s="20"/>
      <c r="G78" s="23">
        <f t="shared" si="6"/>
        <v>0</v>
      </c>
      <c r="H78" s="14">
        <f t="shared" si="7"/>
        <v>20</v>
      </c>
      <c r="I78" s="10" t="str">
        <f t="shared" si="8"/>
        <v>Do: امکان بوست گیاهان</v>
      </c>
      <c r="J78" s="39" t="s">
        <v>155</v>
      </c>
      <c r="K78" s="26" t="s">
        <v>263</v>
      </c>
    </row>
    <row r="79" spans="1:11">
      <c r="A79" s="9" t="s">
        <v>215</v>
      </c>
      <c r="B79" s="10" t="s">
        <v>264</v>
      </c>
      <c r="C79" s="10" t="s">
        <v>265</v>
      </c>
      <c r="D79" s="14">
        <v>15</v>
      </c>
      <c r="E79" s="17" t="b">
        <v>0</v>
      </c>
      <c r="F79" s="20"/>
      <c r="G79" s="23">
        <f t="shared" si="6"/>
        <v>0</v>
      </c>
      <c r="H79" s="14">
        <f t="shared" si="7"/>
        <v>15</v>
      </c>
      <c r="I79" s="10" t="str">
        <f t="shared" si="8"/>
        <v>Do: دریافت جوایز</v>
      </c>
      <c r="J79" s="39" t="s">
        <v>155</v>
      </c>
      <c r="K79" s="26" t="s">
        <v>266</v>
      </c>
    </row>
    <row r="80" spans="1:11">
      <c r="A80" s="9" t="s">
        <v>215</v>
      </c>
      <c r="B80" s="10" t="s">
        <v>264</v>
      </c>
      <c r="C80" s="10" t="s">
        <v>267</v>
      </c>
      <c r="D80" s="14">
        <v>20</v>
      </c>
      <c r="E80" s="17" t="b">
        <v>0</v>
      </c>
      <c r="F80" s="20"/>
      <c r="G80" s="23">
        <f t="shared" si="6"/>
        <v>0</v>
      </c>
      <c r="H80" s="14">
        <f t="shared" si="7"/>
        <v>20</v>
      </c>
      <c r="I80" s="10" t="str">
        <f t="shared" si="8"/>
        <v>Do: غذای گیاه</v>
      </c>
      <c r="J80" s="39" t="s">
        <v>155</v>
      </c>
      <c r="K80" s="26" t="s">
        <v>268</v>
      </c>
    </row>
    <row r="81" spans="1:11">
      <c r="A81" s="9" t="s">
        <v>215</v>
      </c>
      <c r="B81" s="10" t="s">
        <v>264</v>
      </c>
      <c r="C81" s="10" t="s">
        <v>269</v>
      </c>
      <c r="D81" s="14">
        <v>50</v>
      </c>
      <c r="E81" s="17" t="b">
        <v>0</v>
      </c>
      <c r="F81" s="20"/>
      <c r="G81" s="23">
        <f t="shared" si="6"/>
        <v>0</v>
      </c>
      <c r="H81" s="14">
        <f t="shared" si="7"/>
        <v>50</v>
      </c>
      <c r="I81" s="10" t="str">
        <f t="shared" si="8"/>
        <v>Do: امکان برد</v>
      </c>
      <c r="J81" s="39" t="s">
        <v>155</v>
      </c>
      <c r="K81" s="26" t="s">
        <v>270</v>
      </c>
    </row>
    <row r="82" spans="1:11">
      <c r="A82" s="9" t="s">
        <v>215</v>
      </c>
      <c r="B82" s="10" t="s">
        <v>264</v>
      </c>
      <c r="C82" s="10" t="s">
        <v>271</v>
      </c>
      <c r="D82" s="14">
        <v>50</v>
      </c>
      <c r="E82" s="17" t="b">
        <v>0</v>
      </c>
      <c r="F82" s="20"/>
      <c r="G82" s="23">
        <f t="shared" si="6"/>
        <v>0</v>
      </c>
      <c r="H82" s="14">
        <f t="shared" si="7"/>
        <v>50</v>
      </c>
      <c r="I82" s="10" t="str">
        <f t="shared" si="8"/>
        <v>Do: امکان باخت</v>
      </c>
      <c r="J82" s="39" t="s">
        <v>155</v>
      </c>
      <c r="K82" s="26" t="s">
        <v>272</v>
      </c>
    </row>
    <row r="83" spans="1:11">
      <c r="A83" s="9" t="s">
        <v>273</v>
      </c>
      <c r="B83" s="10" t="s">
        <v>274</v>
      </c>
      <c r="C83" s="10" t="s">
        <v>275</v>
      </c>
      <c r="D83" s="14">
        <v>1100</v>
      </c>
      <c r="E83" s="17" t="b">
        <v>0</v>
      </c>
      <c r="F83" s="20"/>
      <c r="G83" s="23">
        <f t="shared" si="6"/>
        <v>0</v>
      </c>
      <c r="H83" s="14">
        <f t="shared" si="7"/>
        <v>1100</v>
      </c>
      <c r="I83" s="10" t="str">
        <f t="shared" si="8"/>
        <v>Do: زامبی‌های اجباری</v>
      </c>
      <c r="J83" s="39" t="s">
        <v>155</v>
      </c>
      <c r="K83" s="26" t="s">
        <v>276</v>
      </c>
    </row>
    <row r="84" spans="1:11">
      <c r="A84" s="9" t="s">
        <v>273</v>
      </c>
      <c r="B84" s="10" t="s">
        <v>274</v>
      </c>
      <c r="C84" s="10" t="s">
        <v>277</v>
      </c>
      <c r="D84" s="14">
        <v>6</v>
      </c>
      <c r="E84" s="17" t="b">
        <v>0</v>
      </c>
      <c r="F84" s="20"/>
      <c r="G84" s="23">
        <f t="shared" si="6"/>
        <v>0</v>
      </c>
      <c r="H84" s="14">
        <f t="shared" si="7"/>
        <v>6</v>
      </c>
      <c r="I84" s="10" t="str">
        <f t="shared" si="8"/>
        <v>Do: زامبی‌های امتیازی</v>
      </c>
      <c r="J84" s="39" t="s">
        <v>156</v>
      </c>
      <c r="K84" s="26" t="s">
        <v>278</v>
      </c>
    </row>
    <row r="85" spans="1:11">
      <c r="A85" s="9" t="s">
        <v>273</v>
      </c>
      <c r="B85" s="10" t="s">
        <v>279</v>
      </c>
      <c r="C85" s="10" t="s">
        <v>280</v>
      </c>
      <c r="D85" s="14">
        <v>15</v>
      </c>
      <c r="E85" s="17" t="b">
        <v>0</v>
      </c>
      <c r="F85" s="20"/>
      <c r="G85" s="23">
        <f t="shared" si="6"/>
        <v>0</v>
      </c>
      <c r="H85" s="14">
        <f t="shared" si="7"/>
        <v>15</v>
      </c>
      <c r="I85" s="10" t="str">
        <f t="shared" si="8"/>
        <v>Do: نمایش اطلاعات زامبی ها</v>
      </c>
      <c r="J85" s="39" t="s">
        <v>155</v>
      </c>
      <c r="K85" s="26" t="s">
        <v>281</v>
      </c>
    </row>
    <row r="86" spans="1:11">
      <c r="A86" s="9" t="s">
        <v>273</v>
      </c>
      <c r="B86" s="10" t="s">
        <v>279</v>
      </c>
      <c r="C86" s="10" t="s">
        <v>225</v>
      </c>
      <c r="D86" s="14">
        <v>30</v>
      </c>
      <c r="E86" s="17" t="b">
        <v>0</v>
      </c>
      <c r="F86" s="20"/>
      <c r="G86" s="23">
        <f t="shared" si="6"/>
        <v>0</v>
      </c>
      <c r="H86" s="14">
        <f t="shared" si="7"/>
        <v>30</v>
      </c>
      <c r="I86" s="10" t="str">
        <f t="shared" si="8"/>
        <v>Do: cheat code</v>
      </c>
      <c r="J86" s="39" t="s">
        <v>155</v>
      </c>
      <c r="K86" s="26" t="s">
        <v>282</v>
      </c>
    </row>
    <row r="87" spans="1:11">
      <c r="A87" s="9" t="s">
        <v>283</v>
      </c>
      <c r="B87" s="10" t="s">
        <v>284</v>
      </c>
      <c r="C87" s="10" t="s">
        <v>285</v>
      </c>
      <c r="D87" s="14">
        <v>100</v>
      </c>
      <c r="E87" s="17" t="b">
        <v>0</v>
      </c>
      <c r="F87" s="20"/>
      <c r="G87" s="23">
        <f t="shared" si="6"/>
        <v>0</v>
      </c>
      <c r="H87" s="14">
        <f t="shared" si="7"/>
        <v>100</v>
      </c>
      <c r="I87" s="10" t="str">
        <f t="shared" si="8"/>
        <v>Do: پیاده سازی طبقه بندی گیاهان</v>
      </c>
      <c r="J87" s="39" t="s">
        <v>155</v>
      </c>
      <c r="K87" s="26" t="s">
        <v>286</v>
      </c>
    </row>
    <row r="88" spans="1:11">
      <c r="A88" s="9" t="s">
        <v>283</v>
      </c>
      <c r="B88" s="10" t="s">
        <v>284</v>
      </c>
      <c r="C88" s="10" t="s">
        <v>287</v>
      </c>
      <c r="D88" s="14">
        <v>45</v>
      </c>
      <c r="E88" s="17" t="b">
        <v>0</v>
      </c>
      <c r="F88" s="20"/>
      <c r="G88" s="23">
        <f t="shared" si="6"/>
        <v>0</v>
      </c>
      <c r="H88" s="14">
        <f t="shared" si="7"/>
        <v>45</v>
      </c>
      <c r="I88" s="10" t="str">
        <f t="shared" si="8"/>
        <v>Do: تگ ها</v>
      </c>
      <c r="J88" s="39" t="s">
        <v>155</v>
      </c>
      <c r="K88" s="26" t="s">
        <v>288</v>
      </c>
    </row>
    <row r="89" spans="1:11">
      <c r="A89" s="9" t="s">
        <v>283</v>
      </c>
      <c r="B89" s="10" t="s">
        <v>284</v>
      </c>
      <c r="C89" s="10" t="s">
        <v>289</v>
      </c>
      <c r="D89" s="14">
        <v>1000</v>
      </c>
      <c r="E89" s="17" t="b">
        <v>0</v>
      </c>
      <c r="F89" s="20"/>
      <c r="G89" s="23">
        <f t="shared" si="6"/>
        <v>0</v>
      </c>
      <c r="H89" s="14">
        <f t="shared" si="7"/>
        <v>1000</v>
      </c>
      <c r="I89" s="10" t="str">
        <f t="shared" si="8"/>
        <v>Do: پیاده سازی تمام گیاهان</v>
      </c>
      <c r="J89" s="39" t="s">
        <v>155</v>
      </c>
      <c r="K89" s="26" t="s">
        <v>290</v>
      </c>
    </row>
    <row r="90" spans="1:11">
      <c r="A90" s="9" t="s">
        <v>283</v>
      </c>
      <c r="B90" s="10" t="s">
        <v>284</v>
      </c>
      <c r="C90" s="10" t="s">
        <v>291</v>
      </c>
      <c r="D90" s="14">
        <v>12</v>
      </c>
      <c r="E90" s="17" t="b">
        <v>0</v>
      </c>
      <c r="F90" s="20"/>
      <c r="G90" s="23">
        <f t="shared" si="6"/>
        <v>0</v>
      </c>
      <c r="H90" s="14">
        <f t="shared" si="7"/>
        <v>12</v>
      </c>
      <c r="I90" s="10" t="str">
        <f t="shared" si="8"/>
        <v>Do: گیاهان امتیازی</v>
      </c>
      <c r="J90" s="39" t="s">
        <v>156</v>
      </c>
      <c r="K90" s="26" t="s">
        <v>292</v>
      </c>
    </row>
    <row r="91" spans="1:11">
      <c r="A91" s="9" t="s">
        <v>283</v>
      </c>
      <c r="B91" s="10" t="s">
        <v>293</v>
      </c>
      <c r="C91" s="10" t="s">
        <v>294</v>
      </c>
      <c r="D91" s="14">
        <v>100</v>
      </c>
      <c r="E91" s="17" t="b">
        <v>0</v>
      </c>
      <c r="F91" s="20"/>
      <c r="G91" s="23">
        <f t="shared" si="6"/>
        <v>0</v>
      </c>
      <c r="H91" s="14">
        <f t="shared" si="7"/>
        <v>100</v>
      </c>
      <c r="I91" s="10" t="str">
        <f t="shared" si="8"/>
        <v>Do: ارتقای گیاه</v>
      </c>
      <c r="J91" s="39" t="s">
        <v>155</v>
      </c>
      <c r="K91" s="26" t="s">
        <v>295</v>
      </c>
    </row>
    <row r="92" spans="1:11">
      <c r="A92" s="9" t="s">
        <v>283</v>
      </c>
      <c r="B92" s="10" t="s">
        <v>293</v>
      </c>
      <c r="C92" s="10" t="s">
        <v>267</v>
      </c>
      <c r="D92" s="14">
        <v>100</v>
      </c>
      <c r="E92" s="17" t="b">
        <v>0</v>
      </c>
      <c r="F92" s="20"/>
      <c r="G92" s="23">
        <f t="shared" si="6"/>
        <v>0</v>
      </c>
      <c r="H92" s="14">
        <f t="shared" si="7"/>
        <v>100</v>
      </c>
      <c r="I92" s="10" t="str">
        <f t="shared" si="8"/>
        <v>Do: غذای گیاه</v>
      </c>
      <c r="J92" s="39" t="s">
        <v>155</v>
      </c>
      <c r="K92" s="26" t="s">
        <v>296</v>
      </c>
    </row>
    <row r="93" spans="1:11">
      <c r="A93" s="9" t="s">
        <v>283</v>
      </c>
      <c r="B93" s="10" t="s">
        <v>293</v>
      </c>
      <c r="C93" s="10" t="s">
        <v>297</v>
      </c>
      <c r="D93" s="14">
        <v>25</v>
      </c>
      <c r="E93" s="17" t="b">
        <v>0</v>
      </c>
      <c r="F93" s="20"/>
      <c r="G93" s="23">
        <f t="shared" si="6"/>
        <v>0</v>
      </c>
      <c r="H93" s="14">
        <f t="shared" si="7"/>
        <v>25</v>
      </c>
      <c r="I93" s="10" t="str">
        <f t="shared" si="8"/>
        <v>Do: آنلاک کردن</v>
      </c>
      <c r="J93" s="39" t="s">
        <v>155</v>
      </c>
      <c r="K93" s="26" t="s">
        <v>298</v>
      </c>
    </row>
    <row r="94" spans="1:11">
      <c r="A94" s="9" t="s">
        <v>136</v>
      </c>
      <c r="B94" s="10" t="s">
        <v>299</v>
      </c>
      <c r="C94" s="10" t="s">
        <v>300</v>
      </c>
      <c r="D94" s="14">
        <v>10</v>
      </c>
      <c r="E94" s="17" t="b">
        <v>0</v>
      </c>
      <c r="F94" s="20"/>
      <c r="G94" s="23">
        <f t="shared" si="6"/>
        <v>0</v>
      </c>
      <c r="H94" s="14">
        <f t="shared" si="7"/>
        <v>10</v>
      </c>
      <c r="I94" s="10" t="str">
        <f t="shared" si="8"/>
        <v>Do: نمایش گلخانه</v>
      </c>
      <c r="J94" s="39" t="s">
        <v>155</v>
      </c>
      <c r="K94" s="26" t="s">
        <v>301</v>
      </c>
    </row>
    <row r="95" spans="1:11">
      <c r="A95" s="9" t="s">
        <v>136</v>
      </c>
      <c r="B95" s="10" t="s">
        <v>299</v>
      </c>
      <c r="C95" s="10" t="s">
        <v>302</v>
      </c>
      <c r="D95" s="14">
        <v>10</v>
      </c>
      <c r="E95" s="17" t="b">
        <v>0</v>
      </c>
      <c r="F95" s="20"/>
      <c r="G95" s="23">
        <f t="shared" si="6"/>
        <v>0</v>
      </c>
      <c r="H95" s="14">
        <f t="shared" si="7"/>
        <v>10</v>
      </c>
      <c r="I95" s="10" t="str">
        <f t="shared" si="8"/>
        <v>Do: گلدان های قفل</v>
      </c>
      <c r="J95" s="39" t="s">
        <v>155</v>
      </c>
      <c r="K95" s="26" t="s">
        <v>303</v>
      </c>
    </row>
    <row r="96" spans="1:11">
      <c r="A96" s="9" t="s">
        <v>136</v>
      </c>
      <c r="B96" s="10" t="s">
        <v>304</v>
      </c>
      <c r="C96" s="10" t="s">
        <v>305</v>
      </c>
      <c r="D96" s="14">
        <v>5</v>
      </c>
      <c r="E96" s="17" t="b">
        <v>0</v>
      </c>
      <c r="F96" s="20"/>
      <c r="G96" s="23">
        <f t="shared" si="6"/>
        <v>0</v>
      </c>
      <c r="H96" s="14">
        <f t="shared" si="7"/>
        <v>5</v>
      </c>
      <c r="I96" s="10" t="str">
        <f t="shared" si="8"/>
        <v>Do: کاشتن</v>
      </c>
      <c r="J96" s="39" t="s">
        <v>155</v>
      </c>
      <c r="K96" s="26" t="s">
        <v>306</v>
      </c>
    </row>
    <row r="97" spans="1:11">
      <c r="A97" s="9" t="s">
        <v>136</v>
      </c>
      <c r="B97" s="10" t="s">
        <v>304</v>
      </c>
      <c r="C97" s="10" t="s">
        <v>307</v>
      </c>
      <c r="D97" s="14">
        <v>5</v>
      </c>
      <c r="E97" s="17" t="b">
        <v>0</v>
      </c>
      <c r="F97" s="20"/>
      <c r="G97" s="23">
        <f t="shared" si="6"/>
        <v>0</v>
      </c>
      <c r="H97" s="14">
        <f t="shared" si="7"/>
        <v>5</v>
      </c>
      <c r="I97" s="10" t="str">
        <f t="shared" si="8"/>
        <v>Do: گل یا گیاه تصادفی</v>
      </c>
      <c r="J97" s="39" t="s">
        <v>155</v>
      </c>
      <c r="K97" s="26" t="s">
        <v>308</v>
      </c>
    </row>
    <row r="98" spans="1:11">
      <c r="A98" s="9" t="s">
        <v>136</v>
      </c>
      <c r="B98" s="10" t="s">
        <v>304</v>
      </c>
      <c r="C98" s="10" t="s">
        <v>309</v>
      </c>
      <c r="D98" s="14">
        <v>10</v>
      </c>
      <c r="E98" s="17" t="b">
        <v>0</v>
      </c>
      <c r="F98" s="20"/>
      <c r="G98" s="23">
        <f t="shared" si="6"/>
        <v>0</v>
      </c>
      <c r="H98" s="14">
        <f t="shared" si="7"/>
        <v>10</v>
      </c>
      <c r="I98" s="10" t="str">
        <f t="shared" si="8"/>
        <v>Do: رشد گیاهان</v>
      </c>
      <c r="J98" s="39" t="s">
        <v>155</v>
      </c>
      <c r="K98" s="26" t="s">
        <v>310</v>
      </c>
    </row>
    <row r="99" spans="1:11">
      <c r="A99" s="9" t="s">
        <v>136</v>
      </c>
      <c r="B99" s="10" t="s">
        <v>304</v>
      </c>
      <c r="C99" s="10" t="s">
        <v>311</v>
      </c>
      <c r="D99" s="14">
        <v>10</v>
      </c>
      <c r="E99" s="17" t="b">
        <v>0</v>
      </c>
      <c r="F99" s="20"/>
      <c r="G99" s="23">
        <f t="shared" si="6"/>
        <v>0</v>
      </c>
      <c r="H99" s="14">
        <f t="shared" si="7"/>
        <v>10</v>
      </c>
      <c r="I99" s="10" t="str">
        <f t="shared" si="8"/>
        <v>Do: برداشت گیاه</v>
      </c>
      <c r="J99" s="39" t="s">
        <v>155</v>
      </c>
      <c r="K99" s="26" t="s">
        <v>312</v>
      </c>
    </row>
    <row r="100" spans="1:11">
      <c r="A100" s="9" t="s">
        <v>136</v>
      </c>
      <c r="B100" s="10" t="s">
        <v>304</v>
      </c>
      <c r="C100" s="10" t="s">
        <v>313</v>
      </c>
      <c r="D100" s="14">
        <v>10</v>
      </c>
      <c r="E100" s="17" t="b">
        <v>0</v>
      </c>
      <c r="F100" s="20"/>
      <c r="G100" s="23">
        <f t="shared" si="6"/>
        <v>0</v>
      </c>
      <c r="H100" s="14">
        <f t="shared" si="7"/>
        <v>10</v>
      </c>
      <c r="I100" s="10" t="str">
        <f t="shared" si="8"/>
        <v>Do: تسریع رشد</v>
      </c>
      <c r="J100" s="39" t="s">
        <v>155</v>
      </c>
      <c r="K100" s="26" t="s">
        <v>314</v>
      </c>
    </row>
    <row r="101" spans="1:11">
      <c r="A101" s="9" t="s">
        <v>141</v>
      </c>
      <c r="B101" s="10" t="s">
        <v>315</v>
      </c>
      <c r="C101" s="10" t="s">
        <v>316</v>
      </c>
      <c r="D101" s="14">
        <v>30</v>
      </c>
      <c r="E101" s="17" t="b">
        <v>0</v>
      </c>
      <c r="F101" s="20"/>
      <c r="G101" s="23">
        <f t="shared" si="6"/>
        <v>0</v>
      </c>
      <c r="H101" s="14">
        <f t="shared" si="7"/>
        <v>30</v>
      </c>
      <c r="I101" s="10" t="str">
        <f t="shared" si="8"/>
        <v>Do: کالاهای دائمی</v>
      </c>
      <c r="J101" s="39" t="s">
        <v>155</v>
      </c>
      <c r="K101" s="26" t="s">
        <v>317</v>
      </c>
    </row>
    <row r="102" spans="1:11">
      <c r="A102" s="9" t="s">
        <v>141</v>
      </c>
      <c r="B102" s="10" t="s">
        <v>315</v>
      </c>
      <c r="C102" s="10" t="s">
        <v>318</v>
      </c>
      <c r="D102" s="14">
        <v>30</v>
      </c>
      <c r="E102" s="17" t="b">
        <v>0</v>
      </c>
      <c r="F102" s="20"/>
      <c r="G102" s="23">
        <f t="shared" si="6"/>
        <v>0</v>
      </c>
      <c r="H102" s="14">
        <f t="shared" si="7"/>
        <v>30</v>
      </c>
      <c r="I102" s="10" t="str">
        <f t="shared" si="8"/>
        <v>Do: پیشنهاد روزانه</v>
      </c>
      <c r="J102" s="39" t="s">
        <v>155</v>
      </c>
      <c r="K102" s="26" t="s">
        <v>319</v>
      </c>
    </row>
    <row r="103" spans="1:11">
      <c r="A103" s="9" t="s">
        <v>141</v>
      </c>
      <c r="B103" s="10" t="s">
        <v>315</v>
      </c>
      <c r="C103" s="10" t="s">
        <v>320</v>
      </c>
      <c r="D103" s="14">
        <v>10</v>
      </c>
      <c r="E103" s="17" t="b">
        <v>0</v>
      </c>
      <c r="F103" s="20"/>
      <c r="G103" s="23">
        <f t="shared" si="6"/>
        <v>0</v>
      </c>
      <c r="H103" s="14">
        <f t="shared" si="7"/>
        <v>10</v>
      </c>
      <c r="I103" s="10" t="str">
        <f t="shared" si="8"/>
        <v>Do: خرید</v>
      </c>
      <c r="J103" s="39" t="s">
        <v>155</v>
      </c>
      <c r="K103" s="26" t="s">
        <v>321</v>
      </c>
    </row>
    <row r="104" spans="1:11">
      <c r="A104" s="9" t="s">
        <v>322</v>
      </c>
      <c r="B104" s="10" t="s">
        <v>323</v>
      </c>
      <c r="C104" s="10" t="s">
        <v>324</v>
      </c>
      <c r="D104" s="14">
        <v>10</v>
      </c>
      <c r="E104" s="17" t="b">
        <v>0</v>
      </c>
      <c r="F104" s="20"/>
      <c r="G104" s="23">
        <f t="shared" si="6"/>
        <v>0</v>
      </c>
      <c r="H104" s="14">
        <f t="shared" si="7"/>
        <v>10</v>
      </c>
      <c r="I104" s="10" t="str">
        <f t="shared" si="8"/>
        <v>Do: مشاهده لیدربورد</v>
      </c>
      <c r="J104" s="39" t="s">
        <v>155</v>
      </c>
      <c r="K104" s="26" t="s">
        <v>325</v>
      </c>
    </row>
    <row r="105" spans="1:11">
      <c r="A105" s="9" t="s">
        <v>322</v>
      </c>
      <c r="B105" s="10" t="s">
        <v>323</v>
      </c>
      <c r="C105" s="10" t="s">
        <v>326</v>
      </c>
      <c r="D105" s="14">
        <v>40</v>
      </c>
      <c r="E105" s="17" t="b">
        <v>0</v>
      </c>
      <c r="F105" s="20"/>
      <c r="G105" s="23">
        <f t="shared" si="6"/>
        <v>0</v>
      </c>
      <c r="H105" s="14">
        <f t="shared" si="7"/>
        <v>40</v>
      </c>
      <c r="I105" s="10" t="str">
        <f t="shared" si="8"/>
        <v>Do: مرتب سازی براساس مورد خواسته شده</v>
      </c>
      <c r="J105" s="39" t="s">
        <v>155</v>
      </c>
      <c r="K105" s="26" t="s">
        <v>327</v>
      </c>
    </row>
    <row r="106" spans="1:11">
      <c r="A106" s="9" t="s">
        <v>322</v>
      </c>
      <c r="B106" s="10" t="s">
        <v>323</v>
      </c>
      <c r="C106" s="10" t="s">
        <v>328</v>
      </c>
      <c r="D106" s="14">
        <v>10</v>
      </c>
      <c r="E106" s="17" t="b">
        <v>0</v>
      </c>
      <c r="F106" s="20"/>
      <c r="G106" s="23">
        <f t="shared" si="6"/>
        <v>0</v>
      </c>
      <c r="H106" s="14">
        <f t="shared" si="7"/>
        <v>10</v>
      </c>
      <c r="I106" s="10" t="str">
        <f t="shared" si="8"/>
        <v>Do: آپدیت لیدربورد</v>
      </c>
      <c r="J106" s="39" t="s">
        <v>155</v>
      </c>
      <c r="K106" s="26" t="s">
        <v>329</v>
      </c>
    </row>
    <row r="107" spans="1:11">
      <c r="A107" s="9" t="s">
        <v>322</v>
      </c>
      <c r="B107" s="10" t="s">
        <v>330</v>
      </c>
      <c r="C107" s="10" t="s">
        <v>331</v>
      </c>
      <c r="D107" s="14">
        <v>5</v>
      </c>
      <c r="E107" s="17" t="b">
        <v>0</v>
      </c>
      <c r="F107" s="20"/>
      <c r="G107" s="23">
        <f t="shared" ref="G107:G138" si="9">IF(E107,D107,IF(F107="",0,MIN(MAX(F107,0),D107)))</f>
        <v>0</v>
      </c>
      <c r="H107" s="14">
        <f t="shared" ref="H107:H138" si="10">MAX(D107-G107,0)</f>
        <v>5</v>
      </c>
      <c r="I107" s="10" t="str">
        <f t="shared" ref="I107:I138" si="11">IF(D107=0,"No points attached",IF(G107=D107,"Done",IF(G107=0,"Do: "&amp;C107,"Finish: "&amp;C107&amp;" ("&amp;TEXT(H107,"0.##")&amp;" pts left)")))</f>
        <v>Do: الگوهای محاسبه امتیاز (امتیازی)</v>
      </c>
      <c r="J107" s="39" t="s">
        <v>156</v>
      </c>
      <c r="K107" s="26" t="s">
        <v>332</v>
      </c>
    </row>
    <row r="108" spans="1:11">
      <c r="A108" s="9" t="s">
        <v>322</v>
      </c>
      <c r="B108" s="10" t="s">
        <v>330</v>
      </c>
      <c r="C108" s="10" t="s">
        <v>333</v>
      </c>
      <c r="D108" s="14">
        <v>1</v>
      </c>
      <c r="E108" s="17" t="b">
        <v>0</v>
      </c>
      <c r="F108" s="20"/>
      <c r="G108" s="23">
        <f t="shared" si="9"/>
        <v>0</v>
      </c>
      <c r="H108" s="14">
        <f t="shared" si="10"/>
        <v>1</v>
      </c>
      <c r="I108" s="10" t="str">
        <f t="shared" si="11"/>
        <v>Do: ذخیره بهترین امتیاز (امتیازی)</v>
      </c>
      <c r="J108" s="39" t="s">
        <v>156</v>
      </c>
      <c r="K108" s="26" t="s">
        <v>334</v>
      </c>
    </row>
    <row r="109" spans="1:11">
      <c r="A109" s="9" t="s">
        <v>322</v>
      </c>
      <c r="B109" s="10" t="s">
        <v>330</v>
      </c>
      <c r="C109" s="10" t="s">
        <v>335</v>
      </c>
      <c r="D109" s="14">
        <v>1</v>
      </c>
      <c r="E109" s="17" t="b">
        <v>0</v>
      </c>
      <c r="F109" s="20"/>
      <c r="G109" s="23">
        <f t="shared" si="9"/>
        <v>0</v>
      </c>
      <c r="H109" s="14">
        <f t="shared" si="10"/>
        <v>1</v>
      </c>
      <c r="I109" s="10" t="str">
        <f t="shared" si="11"/>
        <v>Do: الگوریتم ثابت ظهور زامبی در این مرحله</v>
      </c>
      <c r="J109" s="39" t="s">
        <v>156</v>
      </c>
      <c r="K109" s="26" t="s">
        <v>336</v>
      </c>
    </row>
    <row r="110" spans="1:11">
      <c r="A110" s="9" t="s">
        <v>337</v>
      </c>
      <c r="B110" s="10" t="s">
        <v>338</v>
      </c>
      <c r="C110" s="10" t="s">
        <v>339</v>
      </c>
      <c r="D110" s="14">
        <v>25</v>
      </c>
      <c r="E110" s="17" t="b">
        <v>0</v>
      </c>
      <c r="F110" s="20"/>
      <c r="G110" s="23">
        <f t="shared" si="9"/>
        <v>0</v>
      </c>
      <c r="H110" s="14">
        <f t="shared" si="10"/>
        <v>25</v>
      </c>
      <c r="I110" s="10" t="str">
        <f t="shared" si="11"/>
        <v>Do: وجود مینی‌گیم</v>
      </c>
      <c r="J110" s="39" t="s">
        <v>155</v>
      </c>
      <c r="K110" s="26" t="s">
        <v>340</v>
      </c>
    </row>
    <row r="111" spans="1:11">
      <c r="A111" s="9" t="s">
        <v>337</v>
      </c>
      <c r="B111" s="10" t="s">
        <v>338</v>
      </c>
      <c r="C111" s="10" t="s">
        <v>341</v>
      </c>
      <c r="D111" s="14">
        <v>25</v>
      </c>
      <c r="E111" s="17" t="b">
        <v>0</v>
      </c>
      <c r="F111" s="20"/>
      <c r="G111" s="23">
        <f t="shared" si="9"/>
        <v>0</v>
      </c>
      <c r="H111" s="14">
        <f t="shared" si="10"/>
        <v>25</v>
      </c>
      <c r="I111" s="10" t="str">
        <f t="shared" si="11"/>
        <v>Do: اثر شکستن کوزه</v>
      </c>
      <c r="J111" s="39" t="s">
        <v>155</v>
      </c>
      <c r="K111" s="26" t="s">
        <v>342</v>
      </c>
    </row>
    <row r="112" spans="1:11">
      <c r="A112" s="9" t="s">
        <v>337</v>
      </c>
      <c r="B112" s="10" t="s">
        <v>338</v>
      </c>
      <c r="C112" s="10" t="s">
        <v>343</v>
      </c>
      <c r="D112" s="14">
        <v>20</v>
      </c>
      <c r="E112" s="17" t="b">
        <v>0</v>
      </c>
      <c r="F112" s="20"/>
      <c r="G112" s="23">
        <f t="shared" si="9"/>
        <v>0</v>
      </c>
      <c r="H112" s="14">
        <f t="shared" si="10"/>
        <v>20</v>
      </c>
      <c r="I112" s="10" t="str">
        <f t="shared" si="11"/>
        <v>Do: خواص seed packet</v>
      </c>
      <c r="J112" s="39" t="s">
        <v>155</v>
      </c>
      <c r="K112" s="26" t="s">
        <v>344</v>
      </c>
    </row>
    <row r="113" spans="1:11">
      <c r="A113" s="9" t="s">
        <v>337</v>
      </c>
      <c r="B113" s="10" t="s">
        <v>338</v>
      </c>
      <c r="C113" s="10" t="s">
        <v>345</v>
      </c>
      <c r="D113" s="14">
        <v>5</v>
      </c>
      <c r="E113" s="17" t="b">
        <v>0</v>
      </c>
      <c r="F113" s="20"/>
      <c r="G113" s="23">
        <f t="shared" si="9"/>
        <v>0</v>
      </c>
      <c r="H113" s="14">
        <f t="shared" si="10"/>
        <v>5</v>
      </c>
      <c r="I113" s="10" t="str">
        <f t="shared" si="11"/>
        <v>Do: کوزه گیاه</v>
      </c>
      <c r="J113" s="39" t="s">
        <v>155</v>
      </c>
      <c r="K113" s="26" t="s">
        <v>346</v>
      </c>
    </row>
    <row r="114" spans="1:11">
      <c r="A114" s="9" t="s">
        <v>337</v>
      </c>
      <c r="B114" s="10" t="s">
        <v>338</v>
      </c>
      <c r="C114" s="10" t="s">
        <v>347</v>
      </c>
      <c r="D114" s="14">
        <v>5</v>
      </c>
      <c r="E114" s="17" t="b">
        <v>0</v>
      </c>
      <c r="F114" s="20"/>
      <c r="G114" s="23">
        <f t="shared" si="9"/>
        <v>0</v>
      </c>
      <c r="H114" s="14">
        <f t="shared" si="10"/>
        <v>5</v>
      </c>
      <c r="I114" s="10" t="str">
        <f t="shared" si="11"/>
        <v>Do: کوزه غول</v>
      </c>
      <c r="J114" s="39" t="s">
        <v>155</v>
      </c>
      <c r="K114" s="26" t="s">
        <v>348</v>
      </c>
    </row>
    <row r="115" spans="1:11">
      <c r="A115" s="9" t="s">
        <v>337</v>
      </c>
      <c r="B115" s="10" t="s">
        <v>338</v>
      </c>
      <c r="C115" s="10" t="s">
        <v>349</v>
      </c>
      <c r="D115" s="14">
        <v>5</v>
      </c>
      <c r="E115" s="17" t="b">
        <v>0</v>
      </c>
      <c r="F115" s="20"/>
      <c r="G115" s="23">
        <f t="shared" si="9"/>
        <v>0</v>
      </c>
      <c r="H115" s="14">
        <f t="shared" si="10"/>
        <v>5</v>
      </c>
      <c r="I115" s="10" t="str">
        <f t="shared" si="11"/>
        <v>Do: وجود چند مرحله</v>
      </c>
      <c r="J115" s="39" t="s">
        <v>155</v>
      </c>
      <c r="K115" s="26" t="s">
        <v>350</v>
      </c>
    </row>
    <row r="116" spans="1:11">
      <c r="A116" s="9" t="s">
        <v>337</v>
      </c>
      <c r="B116" s="10" t="s">
        <v>338</v>
      </c>
      <c r="C116" s="10" t="s">
        <v>351</v>
      </c>
      <c r="D116" s="14">
        <v>15</v>
      </c>
      <c r="E116" s="17" t="b">
        <v>0</v>
      </c>
      <c r="F116" s="20"/>
      <c r="G116" s="23">
        <f t="shared" si="9"/>
        <v>0</v>
      </c>
      <c r="H116" s="14">
        <f t="shared" si="10"/>
        <v>15</v>
      </c>
      <c r="I116" s="10" t="str">
        <f t="shared" si="11"/>
        <v>Do: امکان برد و باخت</v>
      </c>
      <c r="J116" s="39" t="s">
        <v>155</v>
      </c>
      <c r="K116" s="26" t="s">
        <v>352</v>
      </c>
    </row>
    <row r="117" spans="1:11">
      <c r="A117" s="9" t="s">
        <v>337</v>
      </c>
      <c r="B117" s="10" t="s">
        <v>353</v>
      </c>
      <c r="C117" s="10" t="s">
        <v>339</v>
      </c>
      <c r="D117" s="14">
        <v>15</v>
      </c>
      <c r="E117" s="17" t="b">
        <v>0</v>
      </c>
      <c r="F117" s="20"/>
      <c r="G117" s="23">
        <f t="shared" si="9"/>
        <v>0</v>
      </c>
      <c r="H117" s="14">
        <f t="shared" si="10"/>
        <v>15</v>
      </c>
      <c r="I117" s="10" t="str">
        <f t="shared" si="11"/>
        <v>Do: وجود مینی‌گیم</v>
      </c>
      <c r="J117" s="39" t="s">
        <v>155</v>
      </c>
      <c r="K117" s="26" t="s">
        <v>354</v>
      </c>
    </row>
    <row r="118" spans="1:11">
      <c r="A118" s="9" t="s">
        <v>337</v>
      </c>
      <c r="B118" s="10" t="s">
        <v>353</v>
      </c>
      <c r="C118" s="10" t="s">
        <v>355</v>
      </c>
      <c r="D118" s="14">
        <v>35</v>
      </c>
      <c r="E118" s="17" t="b">
        <v>0</v>
      </c>
      <c r="F118" s="20"/>
      <c r="G118" s="23">
        <f t="shared" si="9"/>
        <v>0</v>
      </c>
      <c r="H118" s="14">
        <f t="shared" si="10"/>
        <v>35</v>
      </c>
      <c r="I118" s="10" t="str">
        <f t="shared" si="11"/>
        <v>Do: عملکرد مناسب گردوها</v>
      </c>
      <c r="J118" s="39" t="s">
        <v>155</v>
      </c>
      <c r="K118" s="26" t="s">
        <v>356</v>
      </c>
    </row>
    <row r="119" spans="1:11">
      <c r="A119" s="9" t="s">
        <v>337</v>
      </c>
      <c r="B119" s="10" t="s">
        <v>353</v>
      </c>
      <c r="C119" s="10" t="s">
        <v>351</v>
      </c>
      <c r="D119" s="14">
        <v>5</v>
      </c>
      <c r="E119" s="17" t="b">
        <v>0</v>
      </c>
      <c r="F119" s="20"/>
      <c r="G119" s="23">
        <f t="shared" si="9"/>
        <v>0</v>
      </c>
      <c r="H119" s="14">
        <f t="shared" si="10"/>
        <v>5</v>
      </c>
      <c r="I119" s="10" t="str">
        <f t="shared" si="11"/>
        <v>Do: امکان برد و باخت</v>
      </c>
      <c r="J119" s="39" t="s">
        <v>155</v>
      </c>
      <c r="K119" s="26" t="s">
        <v>357</v>
      </c>
    </row>
    <row r="120" spans="1:11">
      <c r="A120" s="9" t="s">
        <v>337</v>
      </c>
      <c r="B120" s="10" t="s">
        <v>353</v>
      </c>
      <c r="C120" s="10" t="s">
        <v>349</v>
      </c>
      <c r="D120" s="14">
        <v>5</v>
      </c>
      <c r="E120" s="17" t="b">
        <v>0</v>
      </c>
      <c r="F120" s="20"/>
      <c r="G120" s="23">
        <f t="shared" si="9"/>
        <v>0</v>
      </c>
      <c r="H120" s="14">
        <f t="shared" si="10"/>
        <v>5</v>
      </c>
      <c r="I120" s="10" t="str">
        <f t="shared" si="11"/>
        <v>Do: وجود چند مرحله</v>
      </c>
      <c r="J120" s="39" t="s">
        <v>155</v>
      </c>
      <c r="K120" s="26" t="s">
        <v>358</v>
      </c>
    </row>
    <row r="121" spans="1:11">
      <c r="A121" s="9" t="s">
        <v>337</v>
      </c>
      <c r="B121" s="10" t="s">
        <v>359</v>
      </c>
      <c r="C121" s="10" t="s">
        <v>339</v>
      </c>
      <c r="D121" s="14">
        <v>25</v>
      </c>
      <c r="E121" s="17" t="b">
        <v>0</v>
      </c>
      <c r="F121" s="20"/>
      <c r="G121" s="23">
        <f t="shared" si="9"/>
        <v>0</v>
      </c>
      <c r="H121" s="14">
        <f t="shared" si="10"/>
        <v>25</v>
      </c>
      <c r="I121" s="10" t="str">
        <f t="shared" si="11"/>
        <v>Do: وجود مینی‌گیم</v>
      </c>
      <c r="J121" s="39" t="s">
        <v>155</v>
      </c>
      <c r="K121" s="26" t="s">
        <v>360</v>
      </c>
    </row>
    <row r="122" spans="1:11">
      <c r="A122" s="9" t="s">
        <v>337</v>
      </c>
      <c r="B122" s="10" t="s">
        <v>359</v>
      </c>
      <c r="C122" s="10" t="s">
        <v>361</v>
      </c>
      <c r="D122" s="14">
        <v>15</v>
      </c>
      <c r="E122" s="17" t="b">
        <v>0</v>
      </c>
      <c r="F122" s="20"/>
      <c r="G122" s="23">
        <f t="shared" si="9"/>
        <v>0</v>
      </c>
      <c r="H122" s="14">
        <f t="shared" si="10"/>
        <v>15</v>
      </c>
      <c r="I122" s="10" t="str">
        <f t="shared" si="11"/>
        <v>Do: امکان گذاشتن زامبی</v>
      </c>
      <c r="J122" s="39" t="s">
        <v>155</v>
      </c>
      <c r="K122" s="26" t="s">
        <v>362</v>
      </c>
    </row>
    <row r="123" spans="1:11">
      <c r="A123" s="9" t="s">
        <v>337</v>
      </c>
      <c r="B123" s="10" t="s">
        <v>359</v>
      </c>
      <c r="C123" s="10" t="s">
        <v>351</v>
      </c>
      <c r="D123" s="14">
        <v>15</v>
      </c>
      <c r="E123" s="17" t="b">
        <v>0</v>
      </c>
      <c r="F123" s="20"/>
      <c r="G123" s="23">
        <f t="shared" si="9"/>
        <v>0</v>
      </c>
      <c r="H123" s="14">
        <f t="shared" si="10"/>
        <v>15</v>
      </c>
      <c r="I123" s="10" t="str">
        <f t="shared" si="11"/>
        <v>Do: امکان برد و باخت</v>
      </c>
      <c r="J123" s="39" t="s">
        <v>155</v>
      </c>
      <c r="K123" s="26" t="s">
        <v>363</v>
      </c>
    </row>
    <row r="124" spans="1:11">
      <c r="A124" s="9" t="s">
        <v>337</v>
      </c>
      <c r="B124" s="10" t="s">
        <v>359</v>
      </c>
      <c r="C124" s="10" t="s">
        <v>349</v>
      </c>
      <c r="D124" s="14">
        <v>5</v>
      </c>
      <c r="E124" s="17" t="b">
        <v>0</v>
      </c>
      <c r="F124" s="20"/>
      <c r="G124" s="23">
        <f t="shared" si="9"/>
        <v>0</v>
      </c>
      <c r="H124" s="14">
        <f t="shared" si="10"/>
        <v>5</v>
      </c>
      <c r="I124" s="10" t="str">
        <f t="shared" si="11"/>
        <v>Do: وجود چند مرحله</v>
      </c>
      <c r="J124" s="39" t="s">
        <v>155</v>
      </c>
      <c r="K124" s="26" t="s">
        <v>364</v>
      </c>
    </row>
    <row r="125" spans="1:11">
      <c r="A125" s="9" t="s">
        <v>337</v>
      </c>
      <c r="B125" s="10" t="s">
        <v>365</v>
      </c>
      <c r="C125" s="10" t="s">
        <v>366</v>
      </c>
      <c r="D125" s="14">
        <v>2</v>
      </c>
      <c r="E125" s="17" t="b">
        <v>0</v>
      </c>
      <c r="F125" s="20"/>
      <c r="G125" s="23">
        <f t="shared" si="9"/>
        <v>0</v>
      </c>
      <c r="H125" s="14">
        <f t="shared" si="10"/>
        <v>2</v>
      </c>
      <c r="I125" s="10" t="str">
        <f t="shared" si="11"/>
        <v>Do: امکان جابه‌جایی گیاهان</v>
      </c>
      <c r="J125" s="39" t="s">
        <v>156</v>
      </c>
      <c r="K125" s="26" t="s">
        <v>367</v>
      </c>
    </row>
    <row r="126" spans="1:11">
      <c r="A126" s="9" t="s">
        <v>337</v>
      </c>
      <c r="B126" s="10" t="s">
        <v>365</v>
      </c>
      <c r="C126" s="10" t="s">
        <v>368</v>
      </c>
      <c r="D126" s="14">
        <v>1</v>
      </c>
      <c r="E126" s="17" t="b">
        <v>0</v>
      </c>
      <c r="F126" s="20"/>
      <c r="G126" s="23">
        <f t="shared" si="9"/>
        <v>0</v>
      </c>
      <c r="H126" s="14">
        <f t="shared" si="10"/>
        <v>1</v>
      </c>
      <c r="I126" s="10" t="str">
        <f t="shared" si="11"/>
        <v>Do: ساخت ترکیب</v>
      </c>
      <c r="J126" s="39" t="s">
        <v>156</v>
      </c>
      <c r="K126" s="26" t="s">
        <v>369</v>
      </c>
    </row>
    <row r="127" spans="1:11">
      <c r="A127" s="9" t="s">
        <v>337</v>
      </c>
      <c r="B127" s="10" t="s">
        <v>365</v>
      </c>
      <c r="C127" s="10" t="s">
        <v>370</v>
      </c>
      <c r="D127" s="14">
        <v>1</v>
      </c>
      <c r="E127" s="17" t="b">
        <v>0</v>
      </c>
      <c r="F127" s="20"/>
      <c r="G127" s="23">
        <f t="shared" si="9"/>
        <v>0</v>
      </c>
      <c r="H127" s="14">
        <f t="shared" si="10"/>
        <v>1</v>
      </c>
      <c r="I127" s="10" t="str">
        <f t="shared" si="11"/>
        <v>Do: فروریختن گیاهان</v>
      </c>
      <c r="J127" s="39" t="s">
        <v>156</v>
      </c>
      <c r="K127" s="26" t="s">
        <v>371</v>
      </c>
    </row>
    <row r="128" spans="1:11">
      <c r="A128" s="9" t="s">
        <v>337</v>
      </c>
      <c r="B128" s="10" t="s">
        <v>365</v>
      </c>
      <c r="C128" s="10" t="s">
        <v>372</v>
      </c>
      <c r="D128" s="14">
        <v>1</v>
      </c>
      <c r="E128" s="17" t="b">
        <v>0</v>
      </c>
      <c r="F128" s="20"/>
      <c r="G128" s="23">
        <f t="shared" si="9"/>
        <v>0</v>
      </c>
      <c r="H128" s="14">
        <f t="shared" si="10"/>
        <v>1</v>
      </c>
      <c r="I128" s="10" t="str">
        <f t="shared" si="11"/>
        <v>Do: خورده شدن گیاه</v>
      </c>
      <c r="J128" s="39" t="s">
        <v>156</v>
      </c>
      <c r="K128" s="26" t="s">
        <v>373</v>
      </c>
    </row>
    <row r="129" spans="1:11">
      <c r="A129" s="9" t="s">
        <v>337</v>
      </c>
      <c r="B129" s="10" t="s">
        <v>365</v>
      </c>
      <c r="C129" s="10" t="s">
        <v>374</v>
      </c>
      <c r="D129" s="14">
        <v>1</v>
      </c>
      <c r="E129" s="17" t="b">
        <v>0</v>
      </c>
      <c r="F129" s="20"/>
      <c r="G129" s="23">
        <f t="shared" si="9"/>
        <v>0</v>
      </c>
      <c r="H129" s="14">
        <f t="shared" si="10"/>
        <v>1</v>
      </c>
      <c r="I129" s="10" t="str">
        <f t="shared" si="11"/>
        <v>Do: ریست شدن زمین</v>
      </c>
      <c r="J129" s="39" t="s">
        <v>156</v>
      </c>
      <c r="K129" s="26" t="s">
        <v>375</v>
      </c>
    </row>
    <row r="130" spans="1:11">
      <c r="A130" s="9" t="s">
        <v>337</v>
      </c>
      <c r="B130" s="10" t="s">
        <v>365</v>
      </c>
      <c r="C130" s="10" t="s">
        <v>194</v>
      </c>
      <c r="D130" s="14">
        <v>3</v>
      </c>
      <c r="E130" s="17" t="b">
        <v>0</v>
      </c>
      <c r="F130" s="20"/>
      <c r="G130" s="23">
        <f t="shared" si="9"/>
        <v>0</v>
      </c>
      <c r="H130" s="14">
        <f t="shared" si="10"/>
        <v>3</v>
      </c>
      <c r="I130" s="10" t="str">
        <f t="shared" si="11"/>
        <v>Do: ارتقای گیاهان</v>
      </c>
      <c r="J130" s="39" t="s">
        <v>156</v>
      </c>
      <c r="K130" s="26" t="s">
        <v>376</v>
      </c>
    </row>
    <row r="131" spans="1:11">
      <c r="A131" s="9" t="s">
        <v>337</v>
      </c>
      <c r="B131" s="10" t="s">
        <v>365</v>
      </c>
      <c r="C131" s="10" t="s">
        <v>351</v>
      </c>
      <c r="D131" s="14">
        <v>2</v>
      </c>
      <c r="E131" s="17" t="b">
        <v>0</v>
      </c>
      <c r="F131" s="20"/>
      <c r="G131" s="23">
        <f t="shared" si="9"/>
        <v>0</v>
      </c>
      <c r="H131" s="14">
        <f t="shared" si="10"/>
        <v>2</v>
      </c>
      <c r="I131" s="10" t="str">
        <f t="shared" si="11"/>
        <v>Do: امکان برد و باخت</v>
      </c>
      <c r="J131" s="39" t="s">
        <v>156</v>
      </c>
      <c r="K131" s="26" t="s">
        <v>377</v>
      </c>
    </row>
    <row r="132" spans="1:11">
      <c r="A132" s="9" t="s">
        <v>337</v>
      </c>
      <c r="B132" s="10" t="s">
        <v>365</v>
      </c>
      <c r="C132" s="10" t="s">
        <v>349</v>
      </c>
      <c r="D132" s="14">
        <v>3</v>
      </c>
      <c r="E132" s="17" t="b">
        <v>0</v>
      </c>
      <c r="F132" s="20"/>
      <c r="G132" s="23">
        <f t="shared" si="9"/>
        <v>0</v>
      </c>
      <c r="H132" s="14">
        <f t="shared" si="10"/>
        <v>3</v>
      </c>
      <c r="I132" s="10" t="str">
        <f t="shared" si="11"/>
        <v>Do: وجود چند مرحله</v>
      </c>
      <c r="J132" s="39" t="s">
        <v>156</v>
      </c>
      <c r="K132" s="26" t="s">
        <v>378</v>
      </c>
    </row>
    <row r="133" spans="1:11">
      <c r="A133" s="9" t="s">
        <v>337</v>
      </c>
      <c r="B133" s="10" t="s">
        <v>379</v>
      </c>
      <c r="C133" s="10" t="s">
        <v>380</v>
      </c>
      <c r="D133" s="14">
        <v>2</v>
      </c>
      <c r="E133" s="17" t="b">
        <v>0</v>
      </c>
      <c r="F133" s="20"/>
      <c r="G133" s="23">
        <f t="shared" si="9"/>
        <v>0</v>
      </c>
      <c r="H133" s="14">
        <f t="shared" si="10"/>
        <v>2</v>
      </c>
      <c r="I133" s="10" t="str">
        <f t="shared" si="11"/>
        <v>Do: زامبی تیرانداز</v>
      </c>
      <c r="J133" s="39" t="s">
        <v>156</v>
      </c>
      <c r="K133" s="26" t="s">
        <v>381</v>
      </c>
    </row>
    <row r="134" spans="1:11">
      <c r="A134" s="9" t="s">
        <v>337</v>
      </c>
      <c r="B134" s="10" t="s">
        <v>379</v>
      </c>
      <c r="C134" s="10" t="s">
        <v>382</v>
      </c>
      <c r="D134" s="14">
        <v>2</v>
      </c>
      <c r="E134" s="17" t="b">
        <v>0</v>
      </c>
      <c r="F134" s="20"/>
      <c r="G134" s="23">
        <f t="shared" si="9"/>
        <v>0</v>
      </c>
      <c r="H134" s="14">
        <f t="shared" si="10"/>
        <v>2</v>
      </c>
      <c r="I134" s="10" t="str">
        <f t="shared" si="11"/>
        <v>Do: زامبی گردو</v>
      </c>
      <c r="J134" s="39" t="s">
        <v>156</v>
      </c>
      <c r="K134" s="26" t="s">
        <v>383</v>
      </c>
    </row>
    <row r="135" spans="1:11">
      <c r="A135" s="9" t="s">
        <v>337</v>
      </c>
      <c r="B135" s="10" t="s">
        <v>379</v>
      </c>
      <c r="C135" s="10" t="s">
        <v>384</v>
      </c>
      <c r="D135" s="14">
        <v>2</v>
      </c>
      <c r="E135" s="17" t="b">
        <v>0</v>
      </c>
      <c r="F135" s="20"/>
      <c r="G135" s="23">
        <f t="shared" si="9"/>
        <v>0</v>
      </c>
      <c r="H135" s="14">
        <f t="shared" si="10"/>
        <v>2</v>
      </c>
      <c r="I135" s="10" t="str">
        <f t="shared" si="11"/>
        <v>Do: زامبی فلفل</v>
      </c>
      <c r="J135" s="39" t="s">
        <v>156</v>
      </c>
      <c r="K135" s="26" t="s">
        <v>385</v>
      </c>
    </row>
    <row r="136" spans="1:11">
      <c r="A136" s="9" t="s">
        <v>337</v>
      </c>
      <c r="B136" s="10" t="s">
        <v>379</v>
      </c>
      <c r="C136" s="10" t="s">
        <v>349</v>
      </c>
      <c r="D136" s="14">
        <v>3</v>
      </c>
      <c r="E136" s="17" t="b">
        <v>0</v>
      </c>
      <c r="F136" s="20"/>
      <c r="G136" s="23">
        <f t="shared" si="9"/>
        <v>0</v>
      </c>
      <c r="H136" s="14">
        <f t="shared" si="10"/>
        <v>3</v>
      </c>
      <c r="I136" s="10" t="str">
        <f t="shared" si="11"/>
        <v>Do: وجود چند مرحله</v>
      </c>
      <c r="J136" s="39" t="s">
        <v>156</v>
      </c>
      <c r="K136" s="26" t="s">
        <v>386</v>
      </c>
    </row>
    <row r="137" spans="1:11">
      <c r="A137" s="11" t="s">
        <v>337</v>
      </c>
      <c r="B137" s="12" t="s">
        <v>379</v>
      </c>
      <c r="C137" s="12" t="s">
        <v>387</v>
      </c>
      <c r="D137" s="15">
        <v>2</v>
      </c>
      <c r="E137" s="18" t="b">
        <v>0</v>
      </c>
      <c r="F137" s="21"/>
      <c r="G137" s="24">
        <f t="shared" si="9"/>
        <v>0</v>
      </c>
      <c r="H137" s="15">
        <f t="shared" si="10"/>
        <v>2</v>
      </c>
      <c r="I137" s="12" t="str">
        <f t="shared" si="11"/>
        <v>Do: زامبی کدو</v>
      </c>
      <c r="J137" s="40" t="s">
        <v>156</v>
      </c>
      <c r="K137" s="26" t="s">
        <v>388</v>
      </c>
    </row>
    <row r="138" spans="1:11">
      <c r="A138" t="s">
        <v>389</v>
      </c>
      <c r="B138" t="s">
        <v>390</v>
      </c>
      <c r="C138" t="s">
        <v>391</v>
      </c>
      <c r="D138">
        <v>400</v>
      </c>
      <c r="E138" s="3" t="b">
        <v>0</v>
      </c>
      <c r="G138">
        <f t="shared" si="9"/>
        <v>0</v>
      </c>
      <c r="H138">
        <f t="shared" si="10"/>
        <v>400</v>
      </c>
      <c r="I138" t="str">
        <f t="shared" si="11"/>
        <v>Do: راحتی، زیبایی، روان بودن، کرش نکردن</v>
      </c>
      <c r="J138" s="11" t="s">
        <v>155</v>
      </c>
      <c r="K138" s="27" t="s">
        <v>392</v>
      </c>
    </row>
  </sheetData>
  <mergeCells count="7">
    <mergeCell ref="A1:K1"/>
    <mergeCell ref="A5:K5"/>
    <mergeCell ref="B3:D3"/>
    <mergeCell ref="A7:B7"/>
    <mergeCell ref="A8:B8"/>
    <mergeCell ref="C7:D7"/>
    <mergeCell ref="C8:D8"/>
  </mergeCells>
  <conditionalFormatting sqref="D11:D137">
    <cfRule type="expression" dxfId="11" priority="1">
      <formula>D11=0</formula>
    </cfRule>
  </conditionalFormatting>
  <conditionalFormatting sqref="F11:F137">
    <cfRule type="expression" dxfId="10" priority="6">
      <formula>OR(F11&lt;0,F11&gt;D11)</formula>
    </cfRule>
  </conditionalFormatting>
  <conditionalFormatting sqref="G11:G137">
    <cfRule type="expression" dxfId="9" priority="2">
      <formula>AND($D11&gt;0,$G11=0)</formula>
    </cfRule>
    <cfRule type="expression" dxfId="8" priority="3">
      <formula>AND($D11&gt;0,$G11=$D11)</formula>
    </cfRule>
    <cfRule type="expression" dxfId="7" priority="4">
      <formula>AND($G11&gt;0,$G11&lt;$D11)</formula>
    </cfRule>
    <cfRule type="expression" dxfId="6" priority="5">
      <formula>$D11=0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4"/>
  <sheetViews>
    <sheetView tabSelected="1" topLeftCell="A209" zoomScale="96" workbookViewId="0">
      <selection activeCell="E155" sqref="E155"/>
    </sheetView>
  </sheetViews>
  <sheetFormatPr defaultRowHeight="13.8"/>
  <cols>
    <col min="1" max="1" width="22" customWidth="1"/>
    <col min="2" max="2" width="30" customWidth="1"/>
    <col min="3" max="3" width="36" customWidth="1"/>
    <col min="4" max="4" width="10" customWidth="1"/>
    <col min="5" max="5" width="9" customWidth="1"/>
    <col min="6" max="6" width="13" customWidth="1"/>
    <col min="7" max="8" width="11" customWidth="1"/>
    <col min="9" max="9" width="42" customWidth="1"/>
    <col min="10" max="10" width="24" customWidth="1"/>
    <col min="11" max="11" width="10" customWidth="1"/>
  </cols>
  <sheetData>
    <row r="1" spans="1:11" ht="25.65" customHeight="1">
      <c r="A1" s="42" t="s">
        <v>393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3" spans="1:11" ht="15.6">
      <c r="A3" s="1" t="s">
        <v>1</v>
      </c>
      <c r="B3" s="57" t="str">
        <f>Dashboard!$B$3</f>
        <v>My Team</v>
      </c>
      <c r="C3" s="58"/>
      <c r="D3" s="59"/>
    </row>
    <row r="5" spans="1:11" ht="22.35" customHeight="1">
      <c r="A5" s="46" t="s">
        <v>19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>
      <c r="A7" s="60" t="s">
        <v>155</v>
      </c>
      <c r="B7" s="60"/>
      <c r="C7" s="60" t="s">
        <v>394</v>
      </c>
      <c r="D7" s="60"/>
      <c r="E7" s="60" t="s">
        <v>395</v>
      </c>
      <c r="F7" s="60"/>
      <c r="G7" s="60" t="s">
        <v>156</v>
      </c>
      <c r="H7" s="60"/>
    </row>
    <row r="8" spans="1:11" ht="17.399999999999999">
      <c r="A8" s="61" t="str">
        <f>_logic_p2!IF5&amp;" / "&amp;_logic_p2!IF4</f>
        <v>3740 / 4045</v>
      </c>
      <c r="B8" s="61"/>
      <c r="C8" s="61" t="str">
        <f>_logic_p2!IG5&amp;" / "&amp;_logic_p2!IG4</f>
        <v>365 / 2425</v>
      </c>
      <c r="D8" s="61"/>
      <c r="E8" s="61" t="str">
        <f>_logic_p2!IH5&amp;" / "&amp;_logic_p2!IH4</f>
        <v>4045 / 4045</v>
      </c>
      <c r="F8" s="61"/>
      <c r="G8" s="61" t="str">
        <f>_logic_p2!II5&amp;" / "&amp;_logic_p2!II4</f>
        <v>20 / 835</v>
      </c>
      <c r="H8" s="61"/>
    </row>
    <row r="10" spans="1:11" ht="24" customHeight="1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31</v>
      </c>
    </row>
    <row r="11" spans="1:11">
      <c r="A11" s="7" t="s">
        <v>157</v>
      </c>
      <c r="B11" s="8" t="s">
        <v>158</v>
      </c>
      <c r="C11" s="8" t="s">
        <v>159</v>
      </c>
      <c r="D11" s="13">
        <v>5</v>
      </c>
      <c r="E11" s="17" t="b">
        <v>1</v>
      </c>
      <c r="F11" s="19"/>
      <c r="G11" s="22">
        <f t="shared" ref="G11:G74" si="0">IF(E11,D11,IF(F11="",0,MIN(MAX(F11,0),D11)))</f>
        <v>5</v>
      </c>
      <c r="H11" s="13">
        <f t="shared" ref="H11:H74" si="1">MAX(D11-G11,0)</f>
        <v>0</v>
      </c>
      <c r="I11" s="8" t="str">
        <f t="shared" ref="I11:I74" si="2">IF(D11=0,"No points attached",IF(G11=D11,"Done",IF(G11=0,"Do: "&amp;C11,"Finish: "&amp;C11&amp;" ("&amp;TEXT(H11,"0.##")&amp;" pts left)")))</f>
        <v>Done</v>
      </c>
      <c r="J11" s="38" t="s">
        <v>396</v>
      </c>
      <c r="K11" s="25" t="s">
        <v>35</v>
      </c>
    </row>
    <row r="12" spans="1:11">
      <c r="A12" s="9" t="s">
        <v>157</v>
      </c>
      <c r="B12" s="10" t="s">
        <v>160</v>
      </c>
      <c r="C12" s="10" t="s">
        <v>161</v>
      </c>
      <c r="D12" s="14">
        <v>0</v>
      </c>
      <c r="E12" s="17" t="b">
        <v>1</v>
      </c>
      <c r="F12" s="20"/>
      <c r="G12" s="23">
        <f t="shared" si="0"/>
        <v>0</v>
      </c>
      <c r="H12" s="14">
        <f t="shared" si="1"/>
        <v>0</v>
      </c>
      <c r="I12" s="10" t="str">
        <f t="shared" si="2"/>
        <v>No points attached</v>
      </c>
      <c r="J12" s="39" t="s">
        <v>396</v>
      </c>
      <c r="K12" s="26" t="s">
        <v>37</v>
      </c>
    </row>
    <row r="13" spans="1:11">
      <c r="A13" s="9" t="s">
        <v>157</v>
      </c>
      <c r="B13" s="10" t="s">
        <v>160</v>
      </c>
      <c r="C13" s="10" t="s">
        <v>162</v>
      </c>
      <c r="D13" s="14">
        <v>25</v>
      </c>
      <c r="E13" s="17" t="b">
        <v>1</v>
      </c>
      <c r="F13" s="20"/>
      <c r="G13" s="23">
        <f>IF(E13,D13,IF(F13="",0,MIN(MAX(F13,0),D13)))</f>
        <v>25</v>
      </c>
      <c r="H13" s="14">
        <f t="shared" si="1"/>
        <v>0</v>
      </c>
      <c r="I13" s="10" t="str">
        <f t="shared" si="2"/>
        <v>Done</v>
      </c>
      <c r="J13" s="39" t="s">
        <v>396</v>
      </c>
      <c r="K13" s="26" t="s">
        <v>41</v>
      </c>
    </row>
    <row r="14" spans="1:11">
      <c r="A14" s="9" t="s">
        <v>397</v>
      </c>
      <c r="B14" s="10" t="s">
        <v>398</v>
      </c>
      <c r="C14" s="10" t="s">
        <v>399</v>
      </c>
      <c r="D14" s="14">
        <v>5</v>
      </c>
      <c r="E14" s="17" t="b">
        <v>1</v>
      </c>
      <c r="F14" s="20"/>
      <c r="G14" s="23">
        <f t="shared" si="0"/>
        <v>5</v>
      </c>
      <c r="H14" s="14">
        <f t="shared" si="1"/>
        <v>0</v>
      </c>
      <c r="I14" s="10" t="str">
        <f t="shared" si="2"/>
        <v>Done</v>
      </c>
      <c r="J14" s="39" t="s">
        <v>155</v>
      </c>
      <c r="K14" s="26" t="s">
        <v>43</v>
      </c>
    </row>
    <row r="15" spans="1:11">
      <c r="A15" s="9" t="s">
        <v>397</v>
      </c>
      <c r="B15" s="10" t="s">
        <v>398</v>
      </c>
      <c r="C15" s="10" t="s">
        <v>400</v>
      </c>
      <c r="D15" s="14">
        <v>10</v>
      </c>
      <c r="E15" s="17" t="b">
        <v>1</v>
      </c>
      <c r="F15" s="20"/>
      <c r="G15" s="23">
        <f t="shared" si="0"/>
        <v>10</v>
      </c>
      <c r="H15" s="14">
        <f t="shared" si="1"/>
        <v>0</v>
      </c>
      <c r="I15" s="10" t="str">
        <f t="shared" si="2"/>
        <v>Done</v>
      </c>
      <c r="J15" s="39" t="s">
        <v>155</v>
      </c>
      <c r="K15" s="26" t="s">
        <v>45</v>
      </c>
    </row>
    <row r="16" spans="1:11">
      <c r="A16" s="9" t="s">
        <v>397</v>
      </c>
      <c r="B16" s="10" t="s">
        <v>401</v>
      </c>
      <c r="C16" s="10" t="s">
        <v>402</v>
      </c>
      <c r="D16" s="14">
        <v>15</v>
      </c>
      <c r="E16" s="17" t="b">
        <v>1</v>
      </c>
      <c r="F16" s="20"/>
      <c r="G16" s="23">
        <f t="shared" si="0"/>
        <v>15</v>
      </c>
      <c r="H16" s="14">
        <f t="shared" si="1"/>
        <v>0</v>
      </c>
      <c r="I16" s="10" t="str">
        <f t="shared" si="2"/>
        <v>Done</v>
      </c>
      <c r="J16" s="39" t="s">
        <v>155</v>
      </c>
      <c r="K16" s="26" t="s">
        <v>48</v>
      </c>
    </row>
    <row r="17" spans="1:11">
      <c r="A17" s="9" t="s">
        <v>397</v>
      </c>
      <c r="B17" s="10" t="s">
        <v>401</v>
      </c>
      <c r="C17" s="10" t="s">
        <v>403</v>
      </c>
      <c r="D17" s="14">
        <v>10</v>
      </c>
      <c r="E17" s="17" t="b">
        <v>1</v>
      </c>
      <c r="F17" s="20"/>
      <c r="G17" s="23">
        <f t="shared" si="0"/>
        <v>10</v>
      </c>
      <c r="H17" s="14">
        <f t="shared" si="1"/>
        <v>0</v>
      </c>
      <c r="I17" s="10" t="str">
        <f t="shared" si="2"/>
        <v>Done</v>
      </c>
      <c r="J17" s="39" t="s">
        <v>155</v>
      </c>
      <c r="K17" s="26" t="s">
        <v>50</v>
      </c>
    </row>
    <row r="18" spans="1:11">
      <c r="A18" s="9" t="s">
        <v>397</v>
      </c>
      <c r="B18" s="10" t="s">
        <v>404</v>
      </c>
      <c r="C18" s="10" t="s">
        <v>402</v>
      </c>
      <c r="D18" s="14">
        <v>15</v>
      </c>
      <c r="E18" s="17" t="b">
        <v>1</v>
      </c>
      <c r="F18" s="20"/>
      <c r="G18" s="23">
        <f t="shared" si="0"/>
        <v>15</v>
      </c>
      <c r="H18" s="14">
        <f t="shared" si="1"/>
        <v>0</v>
      </c>
      <c r="I18" s="10" t="str">
        <f t="shared" si="2"/>
        <v>Done</v>
      </c>
      <c r="J18" s="39" t="s">
        <v>155</v>
      </c>
      <c r="K18" s="26" t="s">
        <v>52</v>
      </c>
    </row>
    <row r="19" spans="1:11">
      <c r="A19" s="9" t="s">
        <v>397</v>
      </c>
      <c r="B19" s="10" t="s">
        <v>404</v>
      </c>
      <c r="C19" s="10" t="s">
        <v>405</v>
      </c>
      <c r="D19" s="14">
        <v>20</v>
      </c>
      <c r="E19" s="17" t="b">
        <v>1</v>
      </c>
      <c r="F19" s="20"/>
      <c r="G19" s="23">
        <f t="shared" si="0"/>
        <v>20</v>
      </c>
      <c r="H19" s="14">
        <f t="shared" si="1"/>
        <v>0</v>
      </c>
      <c r="I19" s="10" t="str">
        <f t="shared" si="2"/>
        <v>Done</v>
      </c>
      <c r="J19" s="39" t="s">
        <v>155</v>
      </c>
      <c r="K19" s="26" t="s">
        <v>54</v>
      </c>
    </row>
    <row r="20" spans="1:11">
      <c r="A20" s="9" t="s">
        <v>397</v>
      </c>
      <c r="B20" s="10" t="s">
        <v>404</v>
      </c>
      <c r="C20" s="10" t="s">
        <v>403</v>
      </c>
      <c r="D20" s="14">
        <v>10</v>
      </c>
      <c r="E20" s="17" t="b">
        <v>1</v>
      </c>
      <c r="F20" s="20"/>
      <c r="G20" s="23">
        <f t="shared" si="0"/>
        <v>10</v>
      </c>
      <c r="H20" s="14">
        <f t="shared" si="1"/>
        <v>0</v>
      </c>
      <c r="I20" s="10" t="str">
        <f t="shared" si="2"/>
        <v>Done</v>
      </c>
      <c r="J20" s="39" t="s">
        <v>155</v>
      </c>
      <c r="K20" s="26" t="s">
        <v>57</v>
      </c>
    </row>
    <row r="21" spans="1:11">
      <c r="A21" s="9" t="s">
        <v>397</v>
      </c>
      <c r="B21" s="10" t="s">
        <v>406</v>
      </c>
      <c r="C21" s="10" t="s">
        <v>407</v>
      </c>
      <c r="D21" s="14">
        <v>5</v>
      </c>
      <c r="E21" s="17" t="b">
        <v>1</v>
      </c>
      <c r="F21" s="20"/>
      <c r="G21" s="23">
        <f t="shared" si="0"/>
        <v>5</v>
      </c>
      <c r="H21" s="14">
        <f t="shared" si="1"/>
        <v>0</v>
      </c>
      <c r="I21" s="10" t="str">
        <f t="shared" si="2"/>
        <v>Done</v>
      </c>
      <c r="J21" s="39" t="s">
        <v>155</v>
      </c>
      <c r="K21" s="26" t="s">
        <v>59</v>
      </c>
    </row>
    <row r="22" spans="1:11">
      <c r="A22" s="9" t="s">
        <v>397</v>
      </c>
      <c r="B22" s="10" t="s">
        <v>406</v>
      </c>
      <c r="C22" s="10" t="s">
        <v>408</v>
      </c>
      <c r="D22" s="14">
        <v>10</v>
      </c>
      <c r="E22" s="17" t="b">
        <v>1</v>
      </c>
      <c r="F22" s="20"/>
      <c r="G22" s="23">
        <f t="shared" si="0"/>
        <v>10</v>
      </c>
      <c r="H22" s="14">
        <f t="shared" si="1"/>
        <v>0</v>
      </c>
      <c r="I22" s="10" t="str">
        <f t="shared" si="2"/>
        <v>Done</v>
      </c>
      <c r="J22" s="39" t="s">
        <v>155</v>
      </c>
      <c r="K22" s="26" t="s">
        <v>62</v>
      </c>
    </row>
    <row r="23" spans="1:11">
      <c r="A23" s="9" t="s">
        <v>397</v>
      </c>
      <c r="B23" s="10" t="s">
        <v>409</v>
      </c>
      <c r="C23" s="10" t="s">
        <v>410</v>
      </c>
      <c r="D23" s="14">
        <v>10</v>
      </c>
      <c r="E23" s="17" t="b">
        <v>1</v>
      </c>
      <c r="F23" s="20"/>
      <c r="G23" s="23">
        <f t="shared" si="0"/>
        <v>10</v>
      </c>
      <c r="H23" s="14">
        <f t="shared" si="1"/>
        <v>0</v>
      </c>
      <c r="I23" s="10" t="str">
        <f t="shared" si="2"/>
        <v>Done</v>
      </c>
      <c r="J23" s="39" t="s">
        <v>155</v>
      </c>
      <c r="K23" s="26" t="s">
        <v>64</v>
      </c>
    </row>
    <row r="24" spans="1:11">
      <c r="A24" s="9" t="s">
        <v>397</v>
      </c>
      <c r="B24" s="10" t="s">
        <v>409</v>
      </c>
      <c r="C24" s="10" t="s">
        <v>411</v>
      </c>
      <c r="D24" s="14">
        <v>30</v>
      </c>
      <c r="E24" s="17" t="b">
        <v>1</v>
      </c>
      <c r="F24" s="20"/>
      <c r="G24" s="23">
        <f t="shared" si="0"/>
        <v>30</v>
      </c>
      <c r="H24" s="14">
        <f t="shared" si="1"/>
        <v>0</v>
      </c>
      <c r="I24" s="10" t="str">
        <f t="shared" si="2"/>
        <v>Done</v>
      </c>
      <c r="J24" s="39" t="s">
        <v>155</v>
      </c>
      <c r="K24" s="26" t="s">
        <v>67</v>
      </c>
    </row>
    <row r="25" spans="1:11">
      <c r="A25" s="9" t="s">
        <v>397</v>
      </c>
      <c r="B25" s="10" t="s">
        <v>409</v>
      </c>
      <c r="C25" s="10" t="s">
        <v>403</v>
      </c>
      <c r="D25" s="14">
        <v>10</v>
      </c>
      <c r="E25" s="17" t="b">
        <v>1</v>
      </c>
      <c r="F25" s="20"/>
      <c r="G25" s="23">
        <f t="shared" si="0"/>
        <v>10</v>
      </c>
      <c r="H25" s="14">
        <f t="shared" si="1"/>
        <v>0</v>
      </c>
      <c r="I25" s="10" t="str">
        <f t="shared" si="2"/>
        <v>Done</v>
      </c>
      <c r="J25" s="39" t="s">
        <v>155</v>
      </c>
      <c r="K25" s="26" t="s">
        <v>69</v>
      </c>
    </row>
    <row r="26" spans="1:11">
      <c r="A26" s="9" t="s">
        <v>397</v>
      </c>
      <c r="B26" s="10" t="s">
        <v>412</v>
      </c>
      <c r="C26" s="10" t="s">
        <v>413</v>
      </c>
      <c r="D26" s="14">
        <v>40</v>
      </c>
      <c r="E26" s="17" t="b">
        <v>1</v>
      </c>
      <c r="F26" s="20"/>
      <c r="G26" s="23">
        <f t="shared" si="0"/>
        <v>40</v>
      </c>
      <c r="H26" s="14">
        <f t="shared" si="1"/>
        <v>0</v>
      </c>
      <c r="I26" s="10" t="str">
        <f t="shared" si="2"/>
        <v>Done</v>
      </c>
      <c r="J26" s="39" t="s">
        <v>155</v>
      </c>
      <c r="K26" s="26" t="s">
        <v>72</v>
      </c>
    </row>
    <row r="27" spans="1:11">
      <c r="A27" s="9" t="s">
        <v>397</v>
      </c>
      <c r="B27" s="10" t="s">
        <v>412</v>
      </c>
      <c r="C27" s="10" t="s">
        <v>414</v>
      </c>
      <c r="D27" s="14">
        <v>30</v>
      </c>
      <c r="E27" s="17" t="b">
        <v>1</v>
      </c>
      <c r="F27" s="20"/>
      <c r="G27" s="23">
        <f t="shared" si="0"/>
        <v>30</v>
      </c>
      <c r="H27" s="14">
        <f t="shared" si="1"/>
        <v>0</v>
      </c>
      <c r="I27" s="10" t="str">
        <f t="shared" si="2"/>
        <v>Done</v>
      </c>
      <c r="J27" s="39" t="s">
        <v>155</v>
      </c>
      <c r="K27" s="26" t="s">
        <v>74</v>
      </c>
    </row>
    <row r="28" spans="1:11">
      <c r="A28" s="9" t="s">
        <v>397</v>
      </c>
      <c r="B28" s="10" t="s">
        <v>412</v>
      </c>
      <c r="C28" s="10" t="s">
        <v>415</v>
      </c>
      <c r="D28" s="14">
        <v>25</v>
      </c>
      <c r="E28" s="17" t="b">
        <v>1</v>
      </c>
      <c r="F28" s="20"/>
      <c r="G28" s="23">
        <f t="shared" si="0"/>
        <v>25</v>
      </c>
      <c r="H28" s="14">
        <f t="shared" si="1"/>
        <v>0</v>
      </c>
      <c r="I28" s="10" t="str">
        <f t="shared" si="2"/>
        <v>Done</v>
      </c>
      <c r="J28" s="39" t="s">
        <v>155</v>
      </c>
      <c r="K28" s="26" t="s">
        <v>76</v>
      </c>
    </row>
    <row r="29" spans="1:11">
      <c r="A29" s="9" t="s">
        <v>397</v>
      </c>
      <c r="B29" s="10" t="s">
        <v>416</v>
      </c>
      <c r="C29" s="10" t="s">
        <v>417</v>
      </c>
      <c r="D29" s="14">
        <v>50</v>
      </c>
      <c r="E29" s="17" t="b">
        <v>1</v>
      </c>
      <c r="F29" s="20"/>
      <c r="G29" s="23">
        <f t="shared" si="0"/>
        <v>50</v>
      </c>
      <c r="H29" s="14">
        <f t="shared" si="1"/>
        <v>0</v>
      </c>
      <c r="I29" s="10" t="str">
        <f t="shared" si="2"/>
        <v>Done</v>
      </c>
      <c r="J29" s="39" t="s">
        <v>155</v>
      </c>
      <c r="K29" s="26" t="s">
        <v>79</v>
      </c>
    </row>
    <row r="30" spans="1:11">
      <c r="A30" s="9" t="s">
        <v>397</v>
      </c>
      <c r="B30" s="10" t="s">
        <v>416</v>
      </c>
      <c r="C30" s="10" t="s">
        <v>418</v>
      </c>
      <c r="D30" s="14">
        <v>50</v>
      </c>
      <c r="E30" s="17" t="b">
        <v>1</v>
      </c>
      <c r="F30" s="20"/>
      <c r="G30" s="23">
        <f t="shared" si="0"/>
        <v>50</v>
      </c>
      <c r="H30" s="14">
        <f t="shared" si="1"/>
        <v>0</v>
      </c>
      <c r="I30" s="10" t="str">
        <f t="shared" si="2"/>
        <v>Done</v>
      </c>
      <c r="J30" s="39" t="s">
        <v>155</v>
      </c>
      <c r="K30" s="26" t="s">
        <v>81</v>
      </c>
    </row>
    <row r="31" spans="1:11">
      <c r="A31" s="9" t="s">
        <v>397</v>
      </c>
      <c r="B31" s="10" t="s">
        <v>416</v>
      </c>
      <c r="C31" s="10" t="s">
        <v>419</v>
      </c>
      <c r="D31" s="14">
        <v>50</v>
      </c>
      <c r="E31" s="17" t="b">
        <v>1</v>
      </c>
      <c r="F31" s="20"/>
      <c r="G31" s="23">
        <f t="shared" si="0"/>
        <v>50</v>
      </c>
      <c r="H31" s="14">
        <f t="shared" si="1"/>
        <v>0</v>
      </c>
      <c r="I31" s="10" t="str">
        <f t="shared" si="2"/>
        <v>Done</v>
      </c>
      <c r="J31" s="39" t="s">
        <v>155</v>
      </c>
      <c r="K31" s="26" t="s">
        <v>83</v>
      </c>
    </row>
    <row r="32" spans="1:11">
      <c r="A32" s="9" t="s">
        <v>397</v>
      </c>
      <c r="B32" s="10" t="s">
        <v>416</v>
      </c>
      <c r="C32" s="10" t="s">
        <v>420</v>
      </c>
      <c r="D32" s="14">
        <v>50</v>
      </c>
      <c r="E32" s="17" t="b">
        <v>1</v>
      </c>
      <c r="F32" s="20"/>
      <c r="G32" s="23">
        <f t="shared" si="0"/>
        <v>50</v>
      </c>
      <c r="H32" s="14">
        <f t="shared" si="1"/>
        <v>0</v>
      </c>
      <c r="I32" s="10" t="str">
        <f t="shared" si="2"/>
        <v>Done</v>
      </c>
      <c r="J32" s="39" t="s">
        <v>155</v>
      </c>
      <c r="K32" s="26" t="s">
        <v>85</v>
      </c>
    </row>
    <row r="33" spans="1:11">
      <c r="A33" s="9" t="s">
        <v>397</v>
      </c>
      <c r="B33" s="10" t="s">
        <v>416</v>
      </c>
      <c r="C33" s="10" t="s">
        <v>294</v>
      </c>
      <c r="D33" s="14">
        <v>20</v>
      </c>
      <c r="E33" s="17" t="b">
        <v>1</v>
      </c>
      <c r="F33" s="20"/>
      <c r="G33" s="23">
        <f t="shared" si="0"/>
        <v>20</v>
      </c>
      <c r="H33" s="14">
        <f t="shared" si="1"/>
        <v>0</v>
      </c>
      <c r="I33" s="10" t="str">
        <f t="shared" si="2"/>
        <v>Done</v>
      </c>
      <c r="J33" s="39" t="s">
        <v>155</v>
      </c>
      <c r="K33" s="26" t="s">
        <v>87</v>
      </c>
    </row>
    <row r="34" spans="1:11">
      <c r="A34" s="9" t="s">
        <v>397</v>
      </c>
      <c r="B34" s="10" t="s">
        <v>416</v>
      </c>
      <c r="C34" s="10" t="s">
        <v>421</v>
      </c>
      <c r="D34" s="14">
        <v>20</v>
      </c>
      <c r="E34" s="17" t="b">
        <v>1</v>
      </c>
      <c r="F34" s="20"/>
      <c r="G34" s="23">
        <f t="shared" si="0"/>
        <v>20</v>
      </c>
      <c r="H34" s="14">
        <f t="shared" si="1"/>
        <v>0</v>
      </c>
      <c r="I34" s="10" t="str">
        <f t="shared" si="2"/>
        <v>Done</v>
      </c>
      <c r="J34" s="39" t="s">
        <v>155</v>
      </c>
      <c r="K34" s="26" t="s">
        <v>90</v>
      </c>
    </row>
    <row r="35" spans="1:11">
      <c r="A35" s="9" t="s">
        <v>397</v>
      </c>
      <c r="B35" s="10" t="s">
        <v>416</v>
      </c>
      <c r="C35" s="10" t="s">
        <v>422</v>
      </c>
      <c r="D35" s="14">
        <v>10</v>
      </c>
      <c r="E35" s="17" t="b">
        <v>1</v>
      </c>
      <c r="F35" s="20"/>
      <c r="G35" s="23">
        <f t="shared" si="0"/>
        <v>10</v>
      </c>
      <c r="H35" s="14">
        <f t="shared" si="1"/>
        <v>0</v>
      </c>
      <c r="I35" s="10" t="str">
        <f t="shared" si="2"/>
        <v>Done</v>
      </c>
      <c r="J35" s="39" t="s">
        <v>155</v>
      </c>
      <c r="K35" s="26" t="s">
        <v>92</v>
      </c>
    </row>
    <row r="36" spans="1:11">
      <c r="A36" s="9" t="s">
        <v>397</v>
      </c>
      <c r="B36" s="10" t="s">
        <v>416</v>
      </c>
      <c r="C36" s="10" t="s">
        <v>423</v>
      </c>
      <c r="D36" s="14">
        <v>30</v>
      </c>
      <c r="E36" s="17" t="b">
        <v>1</v>
      </c>
      <c r="F36" s="20"/>
      <c r="G36" s="23">
        <f t="shared" si="0"/>
        <v>30</v>
      </c>
      <c r="H36" s="14">
        <f t="shared" si="1"/>
        <v>0</v>
      </c>
      <c r="I36" s="10" t="str">
        <f t="shared" si="2"/>
        <v>Done</v>
      </c>
      <c r="J36" s="39" t="s">
        <v>155</v>
      </c>
      <c r="K36" s="26" t="s">
        <v>94</v>
      </c>
    </row>
    <row r="37" spans="1:11">
      <c r="A37" s="9" t="s">
        <v>397</v>
      </c>
      <c r="B37" s="10" t="s">
        <v>424</v>
      </c>
      <c r="C37" s="10" t="s">
        <v>425</v>
      </c>
      <c r="D37" s="14">
        <v>15</v>
      </c>
      <c r="E37" s="17" t="b">
        <v>1</v>
      </c>
      <c r="F37" s="20"/>
      <c r="G37" s="23">
        <f t="shared" si="0"/>
        <v>15</v>
      </c>
      <c r="H37" s="14">
        <f t="shared" si="1"/>
        <v>0</v>
      </c>
      <c r="I37" s="10" t="str">
        <f t="shared" si="2"/>
        <v>Done</v>
      </c>
      <c r="J37" s="39" t="s">
        <v>155</v>
      </c>
      <c r="K37" s="26" t="s">
        <v>96</v>
      </c>
    </row>
    <row r="38" spans="1:11">
      <c r="A38" s="9" t="s">
        <v>397</v>
      </c>
      <c r="B38" s="10" t="s">
        <v>424</v>
      </c>
      <c r="C38" s="10" t="s">
        <v>426</v>
      </c>
      <c r="D38" s="14">
        <v>25</v>
      </c>
      <c r="E38" s="17" t="b">
        <v>1</v>
      </c>
      <c r="F38" s="20"/>
      <c r="G38" s="23">
        <f t="shared" si="0"/>
        <v>25</v>
      </c>
      <c r="H38" s="14">
        <f t="shared" si="1"/>
        <v>0</v>
      </c>
      <c r="I38" s="10" t="str">
        <f t="shared" si="2"/>
        <v>Done</v>
      </c>
      <c r="J38" s="39" t="s">
        <v>155</v>
      </c>
      <c r="K38" s="26" t="s">
        <v>99</v>
      </c>
    </row>
    <row r="39" spans="1:11">
      <c r="A39" s="9" t="s">
        <v>397</v>
      </c>
      <c r="B39" s="10" t="s">
        <v>424</v>
      </c>
      <c r="C39" s="10" t="s">
        <v>427</v>
      </c>
      <c r="D39" s="14">
        <v>10</v>
      </c>
      <c r="E39" s="17" t="b">
        <v>1</v>
      </c>
      <c r="F39" s="20"/>
      <c r="G39" s="23">
        <f t="shared" si="0"/>
        <v>10</v>
      </c>
      <c r="H39" s="14">
        <f t="shared" si="1"/>
        <v>0</v>
      </c>
      <c r="I39" s="10" t="str">
        <f t="shared" si="2"/>
        <v>Done</v>
      </c>
      <c r="J39" s="39" t="s">
        <v>155</v>
      </c>
      <c r="K39" s="26" t="s">
        <v>101</v>
      </c>
    </row>
    <row r="40" spans="1:11">
      <c r="A40" s="9" t="s">
        <v>397</v>
      </c>
      <c r="B40" s="10" t="s">
        <v>424</v>
      </c>
      <c r="C40" s="10" t="s">
        <v>311</v>
      </c>
      <c r="D40" s="14">
        <v>10</v>
      </c>
      <c r="E40" s="17" t="b">
        <v>1</v>
      </c>
      <c r="F40" s="20"/>
      <c r="G40" s="23">
        <f t="shared" si="0"/>
        <v>10</v>
      </c>
      <c r="H40" s="14">
        <f t="shared" si="1"/>
        <v>0</v>
      </c>
      <c r="I40" s="10" t="str">
        <f t="shared" si="2"/>
        <v>Done</v>
      </c>
      <c r="J40" s="39" t="s">
        <v>155</v>
      </c>
      <c r="K40" s="26" t="s">
        <v>103</v>
      </c>
    </row>
    <row r="41" spans="1:11">
      <c r="A41" s="9" t="s">
        <v>397</v>
      </c>
      <c r="B41" s="10" t="s">
        <v>424</v>
      </c>
      <c r="C41" s="10" t="s">
        <v>428</v>
      </c>
      <c r="D41" s="14">
        <v>25</v>
      </c>
      <c r="E41" s="17" t="b">
        <v>1</v>
      </c>
      <c r="F41" s="20"/>
      <c r="G41" s="23">
        <f t="shared" si="0"/>
        <v>25</v>
      </c>
      <c r="H41" s="14">
        <f t="shared" si="1"/>
        <v>0</v>
      </c>
      <c r="I41" s="10" t="str">
        <f t="shared" si="2"/>
        <v>Done</v>
      </c>
      <c r="J41" s="39" t="s">
        <v>155</v>
      </c>
      <c r="K41" s="26" t="s">
        <v>106</v>
      </c>
    </row>
    <row r="42" spans="1:11">
      <c r="A42" s="9" t="s">
        <v>397</v>
      </c>
      <c r="B42" s="10" t="s">
        <v>424</v>
      </c>
      <c r="C42" s="10" t="s">
        <v>313</v>
      </c>
      <c r="D42" s="14">
        <v>15</v>
      </c>
      <c r="E42" s="17" t="b">
        <v>1</v>
      </c>
      <c r="F42" s="20"/>
      <c r="G42" s="23">
        <f t="shared" si="0"/>
        <v>15</v>
      </c>
      <c r="H42" s="14">
        <f t="shared" si="1"/>
        <v>0</v>
      </c>
      <c r="I42" s="10" t="str">
        <f t="shared" si="2"/>
        <v>Done</v>
      </c>
      <c r="J42" s="39" t="s">
        <v>155</v>
      </c>
      <c r="K42" s="26" t="s">
        <v>108</v>
      </c>
    </row>
    <row r="43" spans="1:11">
      <c r="A43" s="9" t="s">
        <v>397</v>
      </c>
      <c r="B43" s="10" t="s">
        <v>424</v>
      </c>
      <c r="C43" s="10" t="s">
        <v>429</v>
      </c>
      <c r="D43" s="14">
        <v>25</v>
      </c>
      <c r="E43" s="17" t="b">
        <v>1</v>
      </c>
      <c r="F43" s="20"/>
      <c r="G43" s="23">
        <f t="shared" si="0"/>
        <v>25</v>
      </c>
      <c r="H43" s="14">
        <f t="shared" si="1"/>
        <v>0</v>
      </c>
      <c r="I43" s="10" t="str">
        <f t="shared" si="2"/>
        <v>Done</v>
      </c>
      <c r="J43" s="39" t="s">
        <v>155</v>
      </c>
      <c r="K43" s="26" t="s">
        <v>110</v>
      </c>
    </row>
    <row r="44" spans="1:11">
      <c r="A44" s="9" t="s">
        <v>397</v>
      </c>
      <c r="B44" s="10" t="s">
        <v>430</v>
      </c>
      <c r="C44" s="10" t="s">
        <v>431</v>
      </c>
      <c r="D44" s="14">
        <v>30</v>
      </c>
      <c r="E44" s="17" t="b">
        <v>1</v>
      </c>
      <c r="F44" s="20"/>
      <c r="G44" s="23">
        <f t="shared" si="0"/>
        <v>30</v>
      </c>
      <c r="H44" s="14">
        <f t="shared" si="1"/>
        <v>0</v>
      </c>
      <c r="I44" s="10" t="str">
        <f t="shared" si="2"/>
        <v>Done</v>
      </c>
      <c r="J44" s="39" t="s">
        <v>155</v>
      </c>
      <c r="K44" s="26" t="s">
        <v>113</v>
      </c>
    </row>
    <row r="45" spans="1:11">
      <c r="A45" s="9" t="s">
        <v>397</v>
      </c>
      <c r="B45" s="10" t="s">
        <v>430</v>
      </c>
      <c r="C45" s="10" t="s">
        <v>432</v>
      </c>
      <c r="D45" s="14">
        <v>15</v>
      </c>
      <c r="E45" s="17" t="b">
        <v>1</v>
      </c>
      <c r="F45" s="20"/>
      <c r="G45" s="23">
        <f t="shared" si="0"/>
        <v>15</v>
      </c>
      <c r="H45" s="14">
        <f t="shared" si="1"/>
        <v>0</v>
      </c>
      <c r="I45" s="10" t="str">
        <f t="shared" si="2"/>
        <v>Done</v>
      </c>
      <c r="J45" s="39" t="s">
        <v>155</v>
      </c>
      <c r="K45" s="26" t="s">
        <v>115</v>
      </c>
    </row>
    <row r="46" spans="1:11">
      <c r="A46" s="9" t="s">
        <v>397</v>
      </c>
      <c r="B46" s="10" t="s">
        <v>430</v>
      </c>
      <c r="C46" s="10" t="s">
        <v>433</v>
      </c>
      <c r="D46" s="14">
        <v>40</v>
      </c>
      <c r="E46" s="17" t="b">
        <v>1</v>
      </c>
      <c r="F46" s="20"/>
      <c r="G46" s="23">
        <f t="shared" si="0"/>
        <v>40</v>
      </c>
      <c r="H46" s="14">
        <f t="shared" si="1"/>
        <v>0</v>
      </c>
      <c r="I46" s="10" t="str">
        <f t="shared" si="2"/>
        <v>Done</v>
      </c>
      <c r="J46" s="39" t="s">
        <v>155</v>
      </c>
      <c r="K46" s="26" t="s">
        <v>116</v>
      </c>
    </row>
    <row r="47" spans="1:11">
      <c r="A47" s="9" t="s">
        <v>397</v>
      </c>
      <c r="B47" s="10" t="s">
        <v>430</v>
      </c>
      <c r="C47" s="10" t="s">
        <v>434</v>
      </c>
      <c r="D47" s="14">
        <v>20</v>
      </c>
      <c r="E47" s="17" t="b">
        <v>1</v>
      </c>
      <c r="F47" s="20"/>
      <c r="G47" s="23">
        <f t="shared" si="0"/>
        <v>20</v>
      </c>
      <c r="H47" s="14">
        <f t="shared" si="1"/>
        <v>0</v>
      </c>
      <c r="I47" s="10" t="str">
        <f t="shared" si="2"/>
        <v>Done</v>
      </c>
      <c r="J47" s="39" t="s">
        <v>155</v>
      </c>
      <c r="K47" s="26" t="s">
        <v>119</v>
      </c>
    </row>
    <row r="48" spans="1:11">
      <c r="A48" s="9" t="s">
        <v>397</v>
      </c>
      <c r="B48" s="10" t="s">
        <v>430</v>
      </c>
      <c r="C48" s="10" t="s">
        <v>320</v>
      </c>
      <c r="D48" s="14">
        <v>20</v>
      </c>
      <c r="E48" s="17" t="b">
        <v>1</v>
      </c>
      <c r="F48" s="20"/>
      <c r="G48" s="23">
        <f t="shared" si="0"/>
        <v>20</v>
      </c>
      <c r="H48" s="14">
        <f t="shared" si="1"/>
        <v>0</v>
      </c>
      <c r="I48" s="10" t="str">
        <f t="shared" si="2"/>
        <v>Done</v>
      </c>
      <c r="J48" s="39" t="s">
        <v>155</v>
      </c>
      <c r="K48" s="26" t="s">
        <v>121</v>
      </c>
    </row>
    <row r="49" spans="1:11">
      <c r="A49" s="9" t="s">
        <v>397</v>
      </c>
      <c r="B49" s="10" t="s">
        <v>430</v>
      </c>
      <c r="C49" s="10" t="s">
        <v>435</v>
      </c>
      <c r="D49" s="14">
        <v>20</v>
      </c>
      <c r="E49" s="17" t="b">
        <v>1</v>
      </c>
      <c r="F49" s="20"/>
      <c r="G49" s="23">
        <f t="shared" si="0"/>
        <v>20</v>
      </c>
      <c r="H49" s="14">
        <f t="shared" si="1"/>
        <v>0</v>
      </c>
      <c r="I49" s="10" t="str">
        <f t="shared" si="2"/>
        <v>Done</v>
      </c>
      <c r="J49" s="39" t="s">
        <v>155</v>
      </c>
      <c r="K49" s="26" t="s">
        <v>123</v>
      </c>
    </row>
    <row r="50" spans="1:11">
      <c r="A50" s="9" t="s">
        <v>397</v>
      </c>
      <c r="B50" s="10" t="s">
        <v>430</v>
      </c>
      <c r="C50" s="10" t="s">
        <v>436</v>
      </c>
      <c r="D50" s="14">
        <v>25</v>
      </c>
      <c r="E50" s="17" t="b">
        <v>1</v>
      </c>
      <c r="F50" s="20"/>
      <c r="G50" s="23">
        <f t="shared" si="0"/>
        <v>25</v>
      </c>
      <c r="H50" s="14">
        <f t="shared" si="1"/>
        <v>0</v>
      </c>
      <c r="I50" s="10" t="str">
        <f t="shared" si="2"/>
        <v>Done</v>
      </c>
      <c r="J50" s="39" t="s">
        <v>155</v>
      </c>
      <c r="K50" s="26" t="s">
        <v>126</v>
      </c>
    </row>
    <row r="51" spans="1:11">
      <c r="A51" s="9" t="s">
        <v>397</v>
      </c>
      <c r="B51" s="10" t="s">
        <v>437</v>
      </c>
      <c r="C51" s="10" t="s">
        <v>438</v>
      </c>
      <c r="D51" s="14">
        <v>30</v>
      </c>
      <c r="E51" s="17" t="b">
        <v>1</v>
      </c>
      <c r="F51" s="20"/>
      <c r="G51" s="23">
        <f t="shared" si="0"/>
        <v>30</v>
      </c>
      <c r="H51" s="14">
        <f t="shared" si="1"/>
        <v>0</v>
      </c>
      <c r="I51" s="10" t="str">
        <f t="shared" si="2"/>
        <v>Done</v>
      </c>
      <c r="J51" s="39" t="s">
        <v>155</v>
      </c>
      <c r="K51" s="26" t="s">
        <v>128</v>
      </c>
    </row>
    <row r="52" spans="1:11">
      <c r="A52" s="9" t="s">
        <v>397</v>
      </c>
      <c r="B52" s="10" t="s">
        <v>439</v>
      </c>
      <c r="C52" s="10" t="s">
        <v>440</v>
      </c>
      <c r="D52" s="14">
        <v>35</v>
      </c>
      <c r="E52" s="17" t="b">
        <v>1</v>
      </c>
      <c r="F52" s="20"/>
      <c r="G52" s="23">
        <f t="shared" si="0"/>
        <v>35</v>
      </c>
      <c r="H52" s="14">
        <f t="shared" si="1"/>
        <v>0</v>
      </c>
      <c r="I52" s="10" t="str">
        <f t="shared" si="2"/>
        <v>Done</v>
      </c>
      <c r="J52" s="39" t="s">
        <v>155</v>
      </c>
      <c r="K52" s="26" t="s">
        <v>131</v>
      </c>
    </row>
    <row r="53" spans="1:11">
      <c r="A53" s="9" t="s">
        <v>397</v>
      </c>
      <c r="B53" s="10" t="s">
        <v>439</v>
      </c>
      <c r="C53" s="10" t="s">
        <v>441</v>
      </c>
      <c r="D53" s="14">
        <v>35</v>
      </c>
      <c r="E53" s="17" t="b">
        <v>1</v>
      </c>
      <c r="F53" s="20"/>
      <c r="G53" s="23">
        <f t="shared" si="0"/>
        <v>35</v>
      </c>
      <c r="H53" s="14">
        <f t="shared" si="1"/>
        <v>0</v>
      </c>
      <c r="I53" s="10" t="str">
        <f t="shared" si="2"/>
        <v>Done</v>
      </c>
      <c r="J53" s="39" t="s">
        <v>155</v>
      </c>
      <c r="K53" s="26" t="s">
        <v>133</v>
      </c>
    </row>
    <row r="54" spans="1:11">
      <c r="A54" s="9" t="s">
        <v>397</v>
      </c>
      <c r="B54" s="10" t="s">
        <v>442</v>
      </c>
      <c r="C54" s="10" t="s">
        <v>443</v>
      </c>
      <c r="D54" s="14">
        <v>20</v>
      </c>
      <c r="E54" s="17" t="b">
        <v>1</v>
      </c>
      <c r="F54" s="20"/>
      <c r="G54" s="23">
        <f t="shared" si="0"/>
        <v>20</v>
      </c>
      <c r="H54" s="14">
        <f t="shared" si="1"/>
        <v>0</v>
      </c>
      <c r="I54" s="10" t="str">
        <f t="shared" si="2"/>
        <v>Done</v>
      </c>
      <c r="J54" s="39" t="s">
        <v>155</v>
      </c>
      <c r="K54" s="26" t="s">
        <v>135</v>
      </c>
    </row>
    <row r="55" spans="1:11">
      <c r="A55" s="9" t="s">
        <v>397</v>
      </c>
      <c r="B55" s="10" t="s">
        <v>442</v>
      </c>
      <c r="C55" s="10" t="s">
        <v>444</v>
      </c>
      <c r="D55" s="14">
        <v>15</v>
      </c>
      <c r="E55" s="17" t="b">
        <v>1</v>
      </c>
      <c r="F55" s="20"/>
      <c r="G55" s="23">
        <f t="shared" si="0"/>
        <v>15</v>
      </c>
      <c r="H55" s="14">
        <f t="shared" si="1"/>
        <v>0</v>
      </c>
      <c r="I55" s="10" t="str">
        <f t="shared" si="2"/>
        <v>Done</v>
      </c>
      <c r="J55" s="39" t="s">
        <v>155</v>
      </c>
      <c r="K55" s="26" t="s">
        <v>138</v>
      </c>
    </row>
    <row r="56" spans="1:11">
      <c r="A56" s="9" t="s">
        <v>397</v>
      </c>
      <c r="B56" s="10" t="s">
        <v>442</v>
      </c>
      <c r="C56" s="10" t="s">
        <v>445</v>
      </c>
      <c r="D56" s="14">
        <v>15</v>
      </c>
      <c r="E56" s="17" t="b">
        <v>1</v>
      </c>
      <c r="F56" s="20"/>
      <c r="G56" s="23">
        <f t="shared" si="0"/>
        <v>15</v>
      </c>
      <c r="H56" s="14">
        <f t="shared" si="1"/>
        <v>0</v>
      </c>
      <c r="I56" s="10" t="str">
        <f t="shared" si="2"/>
        <v>Done</v>
      </c>
      <c r="J56" s="39" t="s">
        <v>155</v>
      </c>
      <c r="K56" s="26" t="s">
        <v>140</v>
      </c>
    </row>
    <row r="57" spans="1:11">
      <c r="A57" s="9" t="s">
        <v>397</v>
      </c>
      <c r="B57" s="10" t="s">
        <v>442</v>
      </c>
      <c r="C57" s="10" t="s">
        <v>446</v>
      </c>
      <c r="D57" s="14">
        <v>15</v>
      </c>
      <c r="E57" s="17" t="b">
        <v>1</v>
      </c>
      <c r="F57" s="20"/>
      <c r="G57" s="23">
        <f t="shared" si="0"/>
        <v>15</v>
      </c>
      <c r="H57" s="14">
        <f t="shared" si="1"/>
        <v>0</v>
      </c>
      <c r="I57" s="10" t="str">
        <f t="shared" si="2"/>
        <v>Done</v>
      </c>
      <c r="J57" s="39" t="s">
        <v>155</v>
      </c>
      <c r="K57" s="26" t="s">
        <v>143</v>
      </c>
    </row>
    <row r="58" spans="1:11">
      <c r="A58" s="9" t="s">
        <v>397</v>
      </c>
      <c r="B58" s="10" t="s">
        <v>447</v>
      </c>
      <c r="C58" s="10" t="s">
        <v>417</v>
      </c>
      <c r="D58" s="14">
        <v>50</v>
      </c>
      <c r="E58" s="17" t="b">
        <v>1</v>
      </c>
      <c r="F58" s="20"/>
      <c r="G58" s="23">
        <f t="shared" si="0"/>
        <v>50</v>
      </c>
      <c r="H58" s="14">
        <f t="shared" si="1"/>
        <v>0</v>
      </c>
      <c r="I58" s="10" t="str">
        <f t="shared" si="2"/>
        <v>Done</v>
      </c>
      <c r="J58" s="39" t="s">
        <v>155</v>
      </c>
      <c r="K58" s="26" t="s">
        <v>145</v>
      </c>
    </row>
    <row r="59" spans="1:11">
      <c r="A59" s="9" t="s">
        <v>397</v>
      </c>
      <c r="B59" s="10" t="s">
        <v>447</v>
      </c>
      <c r="C59" s="10" t="s">
        <v>448</v>
      </c>
      <c r="D59" s="14">
        <v>25</v>
      </c>
      <c r="E59" s="17" t="b">
        <v>1</v>
      </c>
      <c r="F59" s="20"/>
      <c r="G59" s="23">
        <f t="shared" si="0"/>
        <v>25</v>
      </c>
      <c r="H59" s="14">
        <f t="shared" si="1"/>
        <v>0</v>
      </c>
      <c r="I59" s="10" t="str">
        <f t="shared" si="2"/>
        <v>Done</v>
      </c>
      <c r="J59" s="39" t="s">
        <v>155</v>
      </c>
      <c r="K59" s="26" t="s">
        <v>148</v>
      </c>
    </row>
    <row r="60" spans="1:11">
      <c r="A60" s="9" t="s">
        <v>397</v>
      </c>
      <c r="B60" s="10" t="s">
        <v>447</v>
      </c>
      <c r="C60" s="10" t="s">
        <v>449</v>
      </c>
      <c r="D60" s="14">
        <v>25</v>
      </c>
      <c r="E60" s="17" t="b">
        <v>1</v>
      </c>
      <c r="F60" s="20"/>
      <c r="G60" s="23">
        <f t="shared" si="0"/>
        <v>25</v>
      </c>
      <c r="H60" s="14">
        <f t="shared" si="1"/>
        <v>0</v>
      </c>
      <c r="I60" s="10" t="str">
        <f t="shared" si="2"/>
        <v>Done</v>
      </c>
      <c r="J60" s="39" t="s">
        <v>155</v>
      </c>
      <c r="K60" s="26" t="s">
        <v>150</v>
      </c>
    </row>
    <row r="61" spans="1:11">
      <c r="A61" s="9" t="s">
        <v>397</v>
      </c>
      <c r="B61" s="10" t="s">
        <v>447</v>
      </c>
      <c r="C61" s="10" t="s">
        <v>450</v>
      </c>
      <c r="D61" s="14">
        <v>25</v>
      </c>
      <c r="E61" s="17" t="b">
        <v>1</v>
      </c>
      <c r="F61" s="20"/>
      <c r="G61" s="23">
        <f t="shared" si="0"/>
        <v>25</v>
      </c>
      <c r="H61" s="14">
        <f t="shared" si="1"/>
        <v>0</v>
      </c>
      <c r="I61" s="10" t="str">
        <f t="shared" si="2"/>
        <v>Done</v>
      </c>
      <c r="J61" s="39" t="s">
        <v>155</v>
      </c>
      <c r="K61" s="26" t="s">
        <v>153</v>
      </c>
    </row>
    <row r="62" spans="1:11">
      <c r="A62" s="9" t="s">
        <v>397</v>
      </c>
      <c r="B62" s="10" t="s">
        <v>447</v>
      </c>
      <c r="C62" s="10" t="s">
        <v>194</v>
      </c>
      <c r="D62" s="14">
        <v>15</v>
      </c>
      <c r="E62" s="17" t="b">
        <v>1</v>
      </c>
      <c r="F62" s="20"/>
      <c r="G62" s="23">
        <f t="shared" si="0"/>
        <v>15</v>
      </c>
      <c r="H62" s="14">
        <f t="shared" si="1"/>
        <v>0</v>
      </c>
      <c r="I62" s="10" t="str">
        <f t="shared" si="2"/>
        <v>Done</v>
      </c>
      <c r="J62" s="39" t="s">
        <v>155</v>
      </c>
      <c r="K62" s="26" t="s">
        <v>226</v>
      </c>
    </row>
    <row r="63" spans="1:11">
      <c r="A63" s="9" t="s">
        <v>397</v>
      </c>
      <c r="B63" s="10" t="s">
        <v>447</v>
      </c>
      <c r="C63" s="10" t="s">
        <v>451</v>
      </c>
      <c r="D63" s="14">
        <v>15</v>
      </c>
      <c r="E63" s="17" t="b">
        <v>1</v>
      </c>
      <c r="F63" s="20"/>
      <c r="G63" s="23">
        <f t="shared" si="0"/>
        <v>15</v>
      </c>
      <c r="H63" s="14">
        <f t="shared" si="1"/>
        <v>0</v>
      </c>
      <c r="I63" s="10" t="str">
        <f t="shared" si="2"/>
        <v>Done</v>
      </c>
      <c r="J63" s="39" t="s">
        <v>155</v>
      </c>
      <c r="K63" s="26" t="s">
        <v>229</v>
      </c>
    </row>
    <row r="64" spans="1:11">
      <c r="A64" s="9" t="s">
        <v>397</v>
      </c>
      <c r="B64" s="10" t="s">
        <v>447</v>
      </c>
      <c r="C64" s="10" t="s">
        <v>452</v>
      </c>
      <c r="D64" s="14">
        <v>15</v>
      </c>
      <c r="E64" s="17" t="b">
        <v>1</v>
      </c>
      <c r="F64" s="20"/>
      <c r="G64" s="23">
        <f t="shared" si="0"/>
        <v>15</v>
      </c>
      <c r="H64" s="14">
        <f t="shared" si="1"/>
        <v>0</v>
      </c>
      <c r="I64" s="10" t="str">
        <f t="shared" si="2"/>
        <v>Done</v>
      </c>
      <c r="J64" s="39" t="s">
        <v>155</v>
      </c>
      <c r="K64" s="26" t="s">
        <v>231</v>
      </c>
    </row>
    <row r="65" spans="1:11">
      <c r="A65" s="9" t="s">
        <v>397</v>
      </c>
      <c r="B65" s="10" t="s">
        <v>447</v>
      </c>
      <c r="C65" s="10" t="s">
        <v>422</v>
      </c>
      <c r="D65" s="14">
        <v>10</v>
      </c>
      <c r="E65" s="17" t="b">
        <v>1</v>
      </c>
      <c r="F65" s="20"/>
      <c r="G65" s="23">
        <f t="shared" si="0"/>
        <v>10</v>
      </c>
      <c r="H65" s="14">
        <f t="shared" si="1"/>
        <v>0</v>
      </c>
      <c r="I65" s="10" t="str">
        <f t="shared" si="2"/>
        <v>Done</v>
      </c>
      <c r="J65" s="39" t="s">
        <v>155</v>
      </c>
      <c r="K65" s="26" t="s">
        <v>233</v>
      </c>
    </row>
    <row r="66" spans="1:11">
      <c r="A66" s="9" t="s">
        <v>397</v>
      </c>
      <c r="B66" s="10" t="s">
        <v>447</v>
      </c>
      <c r="C66" s="10" t="s">
        <v>453</v>
      </c>
      <c r="D66" s="14">
        <v>15</v>
      </c>
      <c r="E66" s="17" t="b">
        <v>1</v>
      </c>
      <c r="F66" s="20"/>
      <c r="G66" s="23">
        <f t="shared" si="0"/>
        <v>15</v>
      </c>
      <c r="H66" s="14">
        <f t="shared" si="1"/>
        <v>0</v>
      </c>
      <c r="I66" s="10" t="str">
        <f t="shared" si="2"/>
        <v>Done</v>
      </c>
      <c r="J66" s="39" t="s">
        <v>155</v>
      </c>
      <c r="K66" s="26" t="s">
        <v>236</v>
      </c>
    </row>
    <row r="67" spans="1:11">
      <c r="A67" s="9" t="s">
        <v>397</v>
      </c>
      <c r="B67" s="10" t="s">
        <v>447</v>
      </c>
      <c r="C67" s="10" t="s">
        <v>454</v>
      </c>
      <c r="D67" s="14">
        <v>20</v>
      </c>
      <c r="E67" s="17" t="b">
        <v>1</v>
      </c>
      <c r="F67" s="20"/>
      <c r="G67" s="23">
        <f t="shared" si="0"/>
        <v>20</v>
      </c>
      <c r="H67" s="14">
        <f t="shared" si="1"/>
        <v>0</v>
      </c>
      <c r="I67" s="10" t="str">
        <f t="shared" si="2"/>
        <v>Done</v>
      </c>
      <c r="J67" s="39" t="s">
        <v>155</v>
      </c>
      <c r="K67" s="26" t="s">
        <v>238</v>
      </c>
    </row>
    <row r="68" spans="1:11">
      <c r="A68" s="9" t="s">
        <v>397</v>
      </c>
      <c r="B68" s="10" t="s">
        <v>455</v>
      </c>
      <c r="C68" s="10" t="s">
        <v>456</v>
      </c>
      <c r="D68" s="14">
        <v>15</v>
      </c>
      <c r="E68" s="17" t="b">
        <v>1</v>
      </c>
      <c r="F68" s="20"/>
      <c r="G68" s="23">
        <f t="shared" si="0"/>
        <v>15</v>
      </c>
      <c r="H68" s="14">
        <f t="shared" si="1"/>
        <v>0</v>
      </c>
      <c r="I68" s="10" t="str">
        <f t="shared" si="2"/>
        <v>Done</v>
      </c>
      <c r="J68" s="39" t="s">
        <v>155</v>
      </c>
      <c r="K68" s="26" t="s">
        <v>240</v>
      </c>
    </row>
    <row r="69" spans="1:11">
      <c r="A69" s="9" t="s">
        <v>397</v>
      </c>
      <c r="B69" s="10" t="s">
        <v>455</v>
      </c>
      <c r="C69" s="10" t="s">
        <v>457</v>
      </c>
      <c r="D69" s="14">
        <v>15</v>
      </c>
      <c r="E69" s="17" t="b">
        <v>1</v>
      </c>
      <c r="F69" s="20"/>
      <c r="G69" s="23">
        <f t="shared" si="0"/>
        <v>15</v>
      </c>
      <c r="H69" s="14">
        <f t="shared" si="1"/>
        <v>0</v>
      </c>
      <c r="I69" s="10" t="str">
        <f t="shared" si="2"/>
        <v>Done</v>
      </c>
      <c r="J69" s="39" t="s">
        <v>155</v>
      </c>
      <c r="K69" s="26" t="s">
        <v>243</v>
      </c>
    </row>
    <row r="70" spans="1:11">
      <c r="A70" s="9" t="s">
        <v>397</v>
      </c>
      <c r="B70" s="10" t="s">
        <v>455</v>
      </c>
      <c r="C70" s="10" t="s">
        <v>458</v>
      </c>
      <c r="D70" s="14">
        <v>15</v>
      </c>
      <c r="E70" s="17" t="b">
        <v>1</v>
      </c>
      <c r="F70" s="20"/>
      <c r="G70" s="23">
        <f t="shared" si="0"/>
        <v>15</v>
      </c>
      <c r="H70" s="14">
        <f t="shared" si="1"/>
        <v>0</v>
      </c>
      <c r="I70" s="10" t="str">
        <f t="shared" si="2"/>
        <v>Done</v>
      </c>
      <c r="J70" s="39" t="s">
        <v>155</v>
      </c>
      <c r="K70" s="26" t="s">
        <v>245</v>
      </c>
    </row>
    <row r="71" spans="1:11">
      <c r="A71" s="9" t="s">
        <v>397</v>
      </c>
      <c r="B71" s="10" t="s">
        <v>459</v>
      </c>
      <c r="C71" s="10" t="s">
        <v>460</v>
      </c>
      <c r="D71" s="14">
        <v>40</v>
      </c>
      <c r="E71" s="17" t="b">
        <v>1</v>
      </c>
      <c r="F71" s="20"/>
      <c r="G71" s="23">
        <f t="shared" si="0"/>
        <v>40</v>
      </c>
      <c r="H71" s="14">
        <f t="shared" si="1"/>
        <v>0</v>
      </c>
      <c r="I71" s="10" t="str">
        <f t="shared" si="2"/>
        <v>Done</v>
      </c>
      <c r="J71" s="39" t="s">
        <v>155</v>
      </c>
      <c r="K71" s="26" t="s">
        <v>247</v>
      </c>
    </row>
    <row r="72" spans="1:11">
      <c r="A72" s="9" t="s">
        <v>397</v>
      </c>
      <c r="B72" s="10" t="s">
        <v>461</v>
      </c>
      <c r="C72" s="10" t="s">
        <v>462</v>
      </c>
      <c r="D72" s="14">
        <v>15</v>
      </c>
      <c r="E72" s="17" t="b">
        <v>1</v>
      </c>
      <c r="F72" s="20"/>
      <c r="G72" s="23">
        <f t="shared" si="0"/>
        <v>15</v>
      </c>
      <c r="H72" s="14">
        <f t="shared" si="1"/>
        <v>0</v>
      </c>
      <c r="I72" s="10" t="str">
        <f t="shared" si="2"/>
        <v>Done</v>
      </c>
      <c r="J72" s="39" t="s">
        <v>155</v>
      </c>
      <c r="K72" s="26" t="s">
        <v>249</v>
      </c>
    </row>
    <row r="73" spans="1:11">
      <c r="A73" s="9" t="s">
        <v>397</v>
      </c>
      <c r="B73" s="10" t="s">
        <v>461</v>
      </c>
      <c r="C73" s="10" t="s">
        <v>463</v>
      </c>
      <c r="D73" s="14">
        <v>15</v>
      </c>
      <c r="E73" s="17" t="b">
        <v>1</v>
      </c>
      <c r="F73" s="20"/>
      <c r="G73" s="23">
        <f t="shared" si="0"/>
        <v>15</v>
      </c>
      <c r="H73" s="14">
        <f t="shared" si="1"/>
        <v>0</v>
      </c>
      <c r="I73" s="10" t="str">
        <f t="shared" si="2"/>
        <v>Done</v>
      </c>
      <c r="J73" s="39" t="s">
        <v>155</v>
      </c>
      <c r="K73" s="26" t="s">
        <v>251</v>
      </c>
    </row>
    <row r="74" spans="1:11">
      <c r="A74" s="9" t="s">
        <v>397</v>
      </c>
      <c r="B74" s="10" t="s">
        <v>461</v>
      </c>
      <c r="C74" s="10" t="s">
        <v>464</v>
      </c>
      <c r="D74" s="14">
        <v>20</v>
      </c>
      <c r="E74" s="17" t="b">
        <v>1</v>
      </c>
      <c r="F74" s="20"/>
      <c r="G74" s="23">
        <f t="shared" si="0"/>
        <v>20</v>
      </c>
      <c r="H74" s="14">
        <f t="shared" si="1"/>
        <v>0</v>
      </c>
      <c r="I74" s="10" t="str">
        <f t="shared" si="2"/>
        <v>Done</v>
      </c>
      <c r="J74" s="39" t="s">
        <v>155</v>
      </c>
      <c r="K74" s="26" t="s">
        <v>253</v>
      </c>
    </row>
    <row r="75" spans="1:11">
      <c r="A75" s="9" t="s">
        <v>397</v>
      </c>
      <c r="B75" s="10" t="s">
        <v>465</v>
      </c>
      <c r="C75" s="10" t="s">
        <v>460</v>
      </c>
      <c r="D75" s="14">
        <v>100</v>
      </c>
      <c r="E75" s="17" t="b">
        <v>1</v>
      </c>
      <c r="F75" s="20"/>
      <c r="G75" s="23">
        <f t="shared" ref="G75:G138" si="3">IF(E75,D75,IF(F75="",0,MIN(MAX(F75,0),D75)))</f>
        <v>100</v>
      </c>
      <c r="H75" s="14">
        <f t="shared" ref="H75:H138" si="4">MAX(D75-G75,0)</f>
        <v>0</v>
      </c>
      <c r="I75" s="10" t="str">
        <f t="shared" ref="I75:I138" si="5">IF(D75=0,"No points attached",IF(G75=D75,"Done",IF(G75=0,"Do: "&amp;C75,"Finish: "&amp;C75&amp;" ("&amp;TEXT(H75,"0.##")&amp;" pts left)")))</f>
        <v>Done</v>
      </c>
      <c r="J75" s="39" t="s">
        <v>155</v>
      </c>
      <c r="K75" s="26" t="s">
        <v>255</v>
      </c>
    </row>
    <row r="76" spans="1:11">
      <c r="A76" s="9" t="s">
        <v>397</v>
      </c>
      <c r="B76" s="10" t="s">
        <v>465</v>
      </c>
      <c r="C76" s="10" t="s">
        <v>466</v>
      </c>
      <c r="D76" s="14">
        <v>40</v>
      </c>
      <c r="E76" s="17" t="b">
        <v>1</v>
      </c>
      <c r="F76" s="20"/>
      <c r="G76" s="23">
        <f t="shared" si="3"/>
        <v>40</v>
      </c>
      <c r="H76" s="14">
        <f t="shared" si="4"/>
        <v>0</v>
      </c>
      <c r="I76" s="10" t="str">
        <f t="shared" si="5"/>
        <v>Done</v>
      </c>
      <c r="J76" s="39" t="s">
        <v>155</v>
      </c>
      <c r="K76" s="26" t="s">
        <v>256</v>
      </c>
    </row>
    <row r="77" spans="1:11">
      <c r="A77" s="9" t="s">
        <v>467</v>
      </c>
      <c r="B77" s="10" t="s">
        <v>468</v>
      </c>
      <c r="C77" s="10" t="s">
        <v>469</v>
      </c>
      <c r="D77" s="14">
        <v>5</v>
      </c>
      <c r="E77" s="17" t="b">
        <v>1</v>
      </c>
      <c r="F77" s="20"/>
      <c r="G77" s="23">
        <f t="shared" si="3"/>
        <v>5</v>
      </c>
      <c r="H77" s="14">
        <f t="shared" si="4"/>
        <v>0</v>
      </c>
      <c r="I77" s="10" t="str">
        <f t="shared" si="5"/>
        <v>Done</v>
      </c>
      <c r="J77" s="39" t="s">
        <v>155</v>
      </c>
      <c r="K77" s="26" t="s">
        <v>259</v>
      </c>
    </row>
    <row r="78" spans="1:11">
      <c r="A78" s="9" t="s">
        <v>467</v>
      </c>
      <c r="B78" s="10" t="s">
        <v>470</v>
      </c>
      <c r="C78" s="10" t="s">
        <v>471</v>
      </c>
      <c r="D78" s="14">
        <v>25</v>
      </c>
      <c r="E78" s="17" t="b">
        <v>0</v>
      </c>
      <c r="F78" s="20"/>
      <c r="G78" s="23">
        <f t="shared" si="3"/>
        <v>0</v>
      </c>
      <c r="H78" s="14">
        <f t="shared" si="4"/>
        <v>25</v>
      </c>
      <c r="I78" s="10" t="str">
        <f t="shared" si="5"/>
        <v>Do: نمایش پیوسته پیشروی زامبی‌ها</v>
      </c>
      <c r="J78" s="39" t="s">
        <v>155</v>
      </c>
      <c r="K78" s="26" t="s">
        <v>261</v>
      </c>
    </row>
    <row r="79" spans="1:11">
      <c r="A79" s="9" t="s">
        <v>467</v>
      </c>
      <c r="B79" s="10" t="s">
        <v>470</v>
      </c>
      <c r="C79" s="10" t="s">
        <v>472</v>
      </c>
      <c r="D79" s="14">
        <v>25</v>
      </c>
      <c r="E79" s="17" t="b">
        <v>1</v>
      </c>
      <c r="F79" s="20"/>
      <c r="G79" s="23">
        <f t="shared" si="3"/>
        <v>25</v>
      </c>
      <c r="H79" s="14">
        <f t="shared" si="4"/>
        <v>0</v>
      </c>
      <c r="I79" s="10" t="str">
        <f t="shared" si="5"/>
        <v>Done</v>
      </c>
      <c r="J79" s="39" t="s">
        <v>155</v>
      </c>
      <c r="K79" s="26" t="s">
        <v>263</v>
      </c>
    </row>
    <row r="80" spans="1:11">
      <c r="A80" s="9" t="s">
        <v>467</v>
      </c>
      <c r="B80" s="10" t="s">
        <v>473</v>
      </c>
      <c r="C80" s="10" t="s">
        <v>474</v>
      </c>
      <c r="D80" s="14">
        <v>5</v>
      </c>
      <c r="E80" s="17" t="b">
        <v>1</v>
      </c>
      <c r="F80" s="20"/>
      <c r="G80" s="23">
        <f t="shared" si="3"/>
        <v>5</v>
      </c>
      <c r="H80" s="14">
        <f t="shared" si="4"/>
        <v>0</v>
      </c>
      <c r="I80" s="10" t="str">
        <f t="shared" si="5"/>
        <v>Done</v>
      </c>
      <c r="J80" s="39" t="s">
        <v>155</v>
      </c>
      <c r="K80" s="26" t="s">
        <v>266</v>
      </c>
    </row>
    <row r="81" spans="1:11">
      <c r="A81" s="9" t="s">
        <v>467</v>
      </c>
      <c r="B81" s="10" t="s">
        <v>475</v>
      </c>
      <c r="C81" s="10" t="s">
        <v>476</v>
      </c>
      <c r="D81" s="14">
        <v>25</v>
      </c>
      <c r="E81" s="17" t="b">
        <v>1</v>
      </c>
      <c r="F81" s="20"/>
      <c r="G81" s="23">
        <f t="shared" si="3"/>
        <v>25</v>
      </c>
      <c r="H81" s="14">
        <f t="shared" si="4"/>
        <v>0</v>
      </c>
      <c r="I81" s="10" t="str">
        <f t="shared" si="5"/>
        <v>Done</v>
      </c>
      <c r="J81" s="39" t="s">
        <v>155</v>
      </c>
      <c r="K81" s="26" t="s">
        <v>268</v>
      </c>
    </row>
    <row r="82" spans="1:11">
      <c r="A82" s="9" t="s">
        <v>467</v>
      </c>
      <c r="B82" s="10" t="s">
        <v>475</v>
      </c>
      <c r="C82" s="10" t="s">
        <v>477</v>
      </c>
      <c r="D82" s="14">
        <v>25</v>
      </c>
      <c r="E82" s="17" t="b">
        <v>1</v>
      </c>
      <c r="F82" s="20"/>
      <c r="G82" s="23">
        <f t="shared" si="3"/>
        <v>25</v>
      </c>
      <c r="H82" s="14">
        <f t="shared" si="4"/>
        <v>0</v>
      </c>
      <c r="I82" s="10" t="str">
        <f t="shared" si="5"/>
        <v>Done</v>
      </c>
      <c r="J82" s="39" t="s">
        <v>155</v>
      </c>
      <c r="K82" s="26" t="s">
        <v>270</v>
      </c>
    </row>
    <row r="83" spans="1:11">
      <c r="A83" s="9" t="s">
        <v>467</v>
      </c>
      <c r="B83" s="10" t="s">
        <v>475</v>
      </c>
      <c r="C83" s="10" t="s">
        <v>478</v>
      </c>
      <c r="D83" s="14">
        <v>25</v>
      </c>
      <c r="E83" s="17" t="b">
        <v>1</v>
      </c>
      <c r="F83" s="20"/>
      <c r="G83" s="23">
        <f t="shared" si="3"/>
        <v>25</v>
      </c>
      <c r="H83" s="14">
        <f t="shared" si="4"/>
        <v>0</v>
      </c>
      <c r="I83" s="10" t="str">
        <f t="shared" si="5"/>
        <v>Done</v>
      </c>
      <c r="J83" s="39" t="s">
        <v>155</v>
      </c>
      <c r="K83" s="26" t="s">
        <v>272</v>
      </c>
    </row>
    <row r="84" spans="1:11">
      <c r="A84" s="9" t="s">
        <v>467</v>
      </c>
      <c r="B84" s="10" t="s">
        <v>475</v>
      </c>
      <c r="C84" s="10" t="s">
        <v>479</v>
      </c>
      <c r="D84" s="14">
        <v>25</v>
      </c>
      <c r="E84" s="17" t="b">
        <v>1</v>
      </c>
      <c r="F84" s="20"/>
      <c r="G84" s="23">
        <f t="shared" si="3"/>
        <v>25</v>
      </c>
      <c r="H84" s="14">
        <f t="shared" si="4"/>
        <v>0</v>
      </c>
      <c r="I84" s="10" t="str">
        <f t="shared" si="5"/>
        <v>Done</v>
      </c>
      <c r="J84" s="39" t="s">
        <v>155</v>
      </c>
      <c r="K84" s="26" t="s">
        <v>276</v>
      </c>
    </row>
    <row r="85" spans="1:11">
      <c r="A85" s="9" t="s">
        <v>467</v>
      </c>
      <c r="B85" s="10" t="s">
        <v>480</v>
      </c>
      <c r="C85" s="10" t="s">
        <v>481</v>
      </c>
      <c r="D85" s="14">
        <v>60</v>
      </c>
      <c r="E85" s="17" t="b">
        <v>0</v>
      </c>
      <c r="F85" s="20"/>
      <c r="G85" s="23">
        <f t="shared" si="3"/>
        <v>0</v>
      </c>
      <c r="H85" s="14">
        <f t="shared" si="4"/>
        <v>60</v>
      </c>
      <c r="I85" s="10" t="str">
        <f t="shared" si="5"/>
        <v>Do: دیالوگ ان پی سی</v>
      </c>
      <c r="J85" s="39" t="s">
        <v>155</v>
      </c>
      <c r="K85" s="26" t="s">
        <v>278</v>
      </c>
    </row>
    <row r="86" spans="1:11">
      <c r="A86" s="9" t="s">
        <v>482</v>
      </c>
      <c r="B86" s="10" t="s">
        <v>483</v>
      </c>
      <c r="C86" s="10" t="s">
        <v>484</v>
      </c>
      <c r="D86" s="14">
        <v>50</v>
      </c>
      <c r="E86" s="17" t="b">
        <v>1</v>
      </c>
      <c r="F86" s="20"/>
      <c r="G86" s="23">
        <f t="shared" si="3"/>
        <v>50</v>
      </c>
      <c r="H86" s="14">
        <f t="shared" si="4"/>
        <v>0</v>
      </c>
      <c r="I86" s="10" t="str">
        <f t="shared" si="5"/>
        <v>Done</v>
      </c>
      <c r="J86" s="39" t="s">
        <v>155</v>
      </c>
      <c r="K86" s="26" t="s">
        <v>281</v>
      </c>
    </row>
    <row r="87" spans="1:11">
      <c r="A87" s="9" t="s">
        <v>482</v>
      </c>
      <c r="B87" s="10" t="s">
        <v>483</v>
      </c>
      <c r="C87" s="10" t="s">
        <v>485</v>
      </c>
      <c r="D87" s="14">
        <v>50</v>
      </c>
      <c r="E87" s="17" t="b">
        <v>1</v>
      </c>
      <c r="F87" s="20"/>
      <c r="G87" s="23">
        <f t="shared" si="3"/>
        <v>50</v>
      </c>
      <c r="H87" s="14">
        <f t="shared" si="4"/>
        <v>0</v>
      </c>
      <c r="I87" s="10" t="str">
        <f t="shared" si="5"/>
        <v>Done</v>
      </c>
      <c r="J87" s="39" t="s">
        <v>155</v>
      </c>
      <c r="K87" s="26" t="s">
        <v>282</v>
      </c>
    </row>
    <row r="88" spans="1:11">
      <c r="A88" s="9" t="s">
        <v>482</v>
      </c>
      <c r="B88" s="10" t="s">
        <v>483</v>
      </c>
      <c r="C88" s="10" t="s">
        <v>486</v>
      </c>
      <c r="D88" s="14">
        <v>20</v>
      </c>
      <c r="E88" s="17" t="b">
        <v>1</v>
      </c>
      <c r="F88" s="20"/>
      <c r="G88" s="23">
        <f t="shared" si="3"/>
        <v>20</v>
      </c>
      <c r="H88" s="14">
        <f t="shared" si="4"/>
        <v>0</v>
      </c>
      <c r="I88" s="10" t="str">
        <f t="shared" si="5"/>
        <v>Done</v>
      </c>
      <c r="J88" s="39" t="s">
        <v>155</v>
      </c>
      <c r="K88" s="26" t="s">
        <v>286</v>
      </c>
    </row>
    <row r="89" spans="1:11">
      <c r="A89" s="9" t="s">
        <v>482</v>
      </c>
      <c r="B89" s="10" t="s">
        <v>487</v>
      </c>
      <c r="C89" s="10" t="s">
        <v>488</v>
      </c>
      <c r="D89" s="14">
        <v>250</v>
      </c>
      <c r="E89" s="17" t="b">
        <v>1</v>
      </c>
      <c r="F89" s="20"/>
      <c r="G89" s="23">
        <f t="shared" si="3"/>
        <v>250</v>
      </c>
      <c r="H89" s="14">
        <f t="shared" si="4"/>
        <v>0</v>
      </c>
      <c r="I89" s="10" t="str">
        <f t="shared" si="5"/>
        <v>Done</v>
      </c>
      <c r="J89" s="39" t="s">
        <v>155</v>
      </c>
      <c r="K89" s="26" t="s">
        <v>288</v>
      </c>
    </row>
    <row r="90" spans="1:11">
      <c r="A90" s="9" t="s">
        <v>482</v>
      </c>
      <c r="B90" s="10" t="s">
        <v>487</v>
      </c>
      <c r="C90" s="10" t="s">
        <v>484</v>
      </c>
      <c r="D90" s="14">
        <v>25</v>
      </c>
      <c r="E90" s="17" t="b">
        <v>1</v>
      </c>
      <c r="F90" s="20"/>
      <c r="G90" s="23">
        <f t="shared" si="3"/>
        <v>25</v>
      </c>
      <c r="H90" s="14">
        <f t="shared" si="4"/>
        <v>0</v>
      </c>
      <c r="I90" s="10" t="str">
        <f t="shared" si="5"/>
        <v>Done</v>
      </c>
      <c r="J90" s="39" t="s">
        <v>155</v>
      </c>
      <c r="K90" s="26" t="s">
        <v>290</v>
      </c>
    </row>
    <row r="91" spans="1:11">
      <c r="A91" s="9" t="s">
        <v>482</v>
      </c>
      <c r="B91" s="10" t="s">
        <v>487</v>
      </c>
      <c r="C91" s="10" t="s">
        <v>489</v>
      </c>
      <c r="D91" s="14">
        <v>60</v>
      </c>
      <c r="E91" s="17" t="b">
        <v>0</v>
      </c>
      <c r="F91" s="20"/>
      <c r="G91" s="23">
        <f t="shared" si="3"/>
        <v>0</v>
      </c>
      <c r="H91" s="14">
        <f t="shared" si="4"/>
        <v>60</v>
      </c>
      <c r="I91" s="10" t="str">
        <f t="shared" si="5"/>
        <v>Do: سطوح یخ‌زدگی گیاهان</v>
      </c>
      <c r="J91" s="39" t="s">
        <v>155</v>
      </c>
      <c r="K91" s="26" t="s">
        <v>292</v>
      </c>
    </row>
    <row r="92" spans="1:11">
      <c r="A92" s="9" t="s">
        <v>482</v>
      </c>
      <c r="B92" s="10" t="s">
        <v>490</v>
      </c>
      <c r="C92" s="10" t="s">
        <v>484</v>
      </c>
      <c r="D92" s="14">
        <v>35</v>
      </c>
      <c r="E92" s="17" t="b">
        <v>1</v>
      </c>
      <c r="F92" s="20"/>
      <c r="G92" s="23">
        <f t="shared" si="3"/>
        <v>35</v>
      </c>
      <c r="H92" s="14">
        <f t="shared" si="4"/>
        <v>0</v>
      </c>
      <c r="I92" s="10" t="str">
        <f t="shared" si="5"/>
        <v>Done</v>
      </c>
      <c r="J92" s="39" t="s">
        <v>155</v>
      </c>
      <c r="K92" s="26" t="s">
        <v>295</v>
      </c>
    </row>
    <row r="93" spans="1:11">
      <c r="A93" s="9" t="s">
        <v>482</v>
      </c>
      <c r="B93" s="10" t="s">
        <v>490</v>
      </c>
      <c r="C93" s="10" t="s">
        <v>491</v>
      </c>
      <c r="D93" s="14">
        <v>200</v>
      </c>
      <c r="E93" s="17" t="b">
        <v>1</v>
      </c>
      <c r="F93" s="20"/>
      <c r="G93" s="23">
        <f t="shared" si="3"/>
        <v>200</v>
      </c>
      <c r="H93" s="14">
        <f t="shared" si="4"/>
        <v>0</v>
      </c>
      <c r="I93" s="10" t="str">
        <f t="shared" si="5"/>
        <v>Done</v>
      </c>
      <c r="J93" s="39" t="s">
        <v>155</v>
      </c>
      <c r="K93" s="26" t="s">
        <v>296</v>
      </c>
    </row>
    <row r="94" spans="1:11">
      <c r="A94" s="9" t="s">
        <v>482</v>
      </c>
      <c r="B94" s="10" t="s">
        <v>490</v>
      </c>
      <c r="C94" s="10" t="s">
        <v>492</v>
      </c>
      <c r="D94" s="14">
        <v>50</v>
      </c>
      <c r="E94" s="17" t="b">
        <v>1</v>
      </c>
      <c r="F94" s="20"/>
      <c r="G94" s="23">
        <f t="shared" si="3"/>
        <v>50</v>
      </c>
      <c r="H94" s="14">
        <f t="shared" si="4"/>
        <v>0</v>
      </c>
      <c r="I94" s="10" t="str">
        <f t="shared" si="5"/>
        <v>Done</v>
      </c>
      <c r="J94" s="39" t="s">
        <v>155</v>
      </c>
      <c r="K94" s="26" t="s">
        <v>298</v>
      </c>
    </row>
    <row r="95" spans="1:11">
      <c r="A95" s="9" t="s">
        <v>482</v>
      </c>
      <c r="B95" s="10" t="s">
        <v>490</v>
      </c>
      <c r="C95" s="10" t="s">
        <v>493</v>
      </c>
      <c r="D95" s="14">
        <v>50</v>
      </c>
      <c r="E95" s="17" t="b">
        <v>0</v>
      </c>
      <c r="F95" s="20"/>
      <c r="G95" s="23">
        <f t="shared" si="3"/>
        <v>0</v>
      </c>
      <c r="H95" s="14">
        <f t="shared" si="4"/>
        <v>50</v>
      </c>
      <c r="I95" s="10" t="str">
        <f t="shared" si="5"/>
        <v>Do: مشخص بودن تأثیرات خاص</v>
      </c>
      <c r="J95" s="39" t="s">
        <v>155</v>
      </c>
      <c r="K95" s="26" t="s">
        <v>301</v>
      </c>
    </row>
    <row r="96" spans="1:11">
      <c r="A96" s="9" t="s">
        <v>482</v>
      </c>
      <c r="B96" s="10" t="s">
        <v>494</v>
      </c>
      <c r="C96" s="10" t="s">
        <v>495</v>
      </c>
      <c r="D96" s="14">
        <v>125</v>
      </c>
      <c r="E96" s="17" t="b">
        <v>1</v>
      </c>
      <c r="F96" s="20"/>
      <c r="G96" s="23">
        <f t="shared" si="3"/>
        <v>125</v>
      </c>
      <c r="H96" s="14">
        <f t="shared" si="4"/>
        <v>0</v>
      </c>
      <c r="I96" s="10" t="str">
        <f t="shared" si="5"/>
        <v>Done</v>
      </c>
      <c r="J96" s="39" t="s">
        <v>155</v>
      </c>
      <c r="K96" s="26" t="s">
        <v>303</v>
      </c>
    </row>
    <row r="97" spans="1:11">
      <c r="A97" s="9" t="s">
        <v>482</v>
      </c>
      <c r="B97" s="10" t="s">
        <v>494</v>
      </c>
      <c r="C97" s="10" t="s">
        <v>496</v>
      </c>
      <c r="D97" s="14">
        <v>75</v>
      </c>
      <c r="E97" s="17" t="b">
        <v>1</v>
      </c>
      <c r="F97" s="20"/>
      <c r="G97" s="23">
        <f t="shared" si="3"/>
        <v>75</v>
      </c>
      <c r="H97" s="14">
        <f t="shared" si="4"/>
        <v>0</v>
      </c>
      <c r="I97" s="10" t="str">
        <f t="shared" si="5"/>
        <v>Done</v>
      </c>
      <c r="J97" s="39" t="s">
        <v>155</v>
      </c>
      <c r="K97" s="26" t="s">
        <v>306</v>
      </c>
    </row>
    <row r="98" spans="1:11">
      <c r="A98" s="9" t="s">
        <v>482</v>
      </c>
      <c r="B98" s="10" t="s">
        <v>494</v>
      </c>
      <c r="C98" s="10" t="s">
        <v>497</v>
      </c>
      <c r="D98" s="14">
        <v>100</v>
      </c>
      <c r="E98" s="17" t="b">
        <v>1</v>
      </c>
      <c r="F98" s="20"/>
      <c r="G98" s="23">
        <f t="shared" si="3"/>
        <v>100</v>
      </c>
      <c r="H98" s="14">
        <f t="shared" si="4"/>
        <v>0</v>
      </c>
      <c r="I98" s="10" t="str">
        <f t="shared" si="5"/>
        <v>Done</v>
      </c>
      <c r="J98" s="39" t="s">
        <v>155</v>
      </c>
      <c r="K98" s="26" t="s">
        <v>308</v>
      </c>
    </row>
    <row r="99" spans="1:11">
      <c r="A99" s="9" t="s">
        <v>482</v>
      </c>
      <c r="B99" s="10" t="s">
        <v>498</v>
      </c>
      <c r="C99" s="10" t="s">
        <v>499</v>
      </c>
      <c r="D99" s="14">
        <v>25</v>
      </c>
      <c r="E99" s="17" t="b">
        <v>1</v>
      </c>
      <c r="F99" s="20"/>
      <c r="G99" s="23">
        <f t="shared" si="3"/>
        <v>25</v>
      </c>
      <c r="H99" s="14">
        <f t="shared" si="4"/>
        <v>0</v>
      </c>
      <c r="I99" s="10" t="str">
        <f t="shared" si="5"/>
        <v>Done</v>
      </c>
      <c r="J99" s="39" t="s">
        <v>155</v>
      </c>
      <c r="K99" s="26" t="s">
        <v>310</v>
      </c>
    </row>
    <row r="100" spans="1:11">
      <c r="A100" s="9" t="s">
        <v>482</v>
      </c>
      <c r="B100" s="10" t="s">
        <v>498</v>
      </c>
      <c r="C100" s="10" t="s">
        <v>500</v>
      </c>
      <c r="D100" s="14">
        <v>25</v>
      </c>
      <c r="E100" s="17" t="b">
        <v>1</v>
      </c>
      <c r="F100" s="20"/>
      <c r="G100" s="23">
        <f t="shared" si="3"/>
        <v>25</v>
      </c>
      <c r="H100" s="14">
        <f t="shared" si="4"/>
        <v>0</v>
      </c>
      <c r="I100" s="10" t="str">
        <f t="shared" si="5"/>
        <v>Done</v>
      </c>
      <c r="J100" s="39" t="s">
        <v>155</v>
      </c>
      <c r="K100" s="26" t="s">
        <v>312</v>
      </c>
    </row>
    <row r="101" spans="1:11">
      <c r="A101" s="9" t="s">
        <v>482</v>
      </c>
      <c r="B101" s="10" t="s">
        <v>498</v>
      </c>
      <c r="C101" s="10" t="s">
        <v>501</v>
      </c>
      <c r="D101" s="14">
        <v>30</v>
      </c>
      <c r="E101" s="17" t="b">
        <v>1</v>
      </c>
      <c r="F101" s="20"/>
      <c r="G101" s="23">
        <f t="shared" si="3"/>
        <v>30</v>
      </c>
      <c r="H101" s="14">
        <f t="shared" si="4"/>
        <v>0</v>
      </c>
      <c r="I101" s="10" t="str">
        <f t="shared" si="5"/>
        <v>Done</v>
      </c>
      <c r="J101" s="39" t="s">
        <v>155</v>
      </c>
      <c r="K101" s="26" t="s">
        <v>314</v>
      </c>
    </row>
    <row r="102" spans="1:11">
      <c r="A102" s="9" t="s">
        <v>482</v>
      </c>
      <c r="B102" s="10" t="s">
        <v>498</v>
      </c>
      <c r="C102" s="10" t="s">
        <v>502</v>
      </c>
      <c r="D102" s="14">
        <v>35</v>
      </c>
      <c r="E102" s="17" t="b">
        <v>1</v>
      </c>
      <c r="F102" s="20"/>
      <c r="G102" s="23">
        <f t="shared" si="3"/>
        <v>35</v>
      </c>
      <c r="H102" s="14">
        <f t="shared" si="4"/>
        <v>0</v>
      </c>
      <c r="I102" s="10" t="str">
        <f t="shared" si="5"/>
        <v>Done</v>
      </c>
      <c r="J102" s="39" t="s">
        <v>155</v>
      </c>
      <c r="K102" s="26" t="s">
        <v>317</v>
      </c>
    </row>
    <row r="103" spans="1:11">
      <c r="A103" s="9" t="s">
        <v>482</v>
      </c>
      <c r="B103" s="10" t="s">
        <v>503</v>
      </c>
      <c r="C103" s="10" t="s">
        <v>504</v>
      </c>
      <c r="D103" s="14">
        <v>25</v>
      </c>
      <c r="E103" s="17" t="b">
        <v>0</v>
      </c>
      <c r="F103" s="20"/>
      <c r="G103" s="23">
        <f t="shared" si="3"/>
        <v>0</v>
      </c>
      <c r="H103" s="14">
        <f t="shared" si="4"/>
        <v>25</v>
      </c>
      <c r="I103" s="10" t="str">
        <f t="shared" si="5"/>
        <v>Do: نمایش متفاوت</v>
      </c>
      <c r="J103" s="39" t="s">
        <v>155</v>
      </c>
      <c r="K103" s="26" t="s">
        <v>319</v>
      </c>
    </row>
    <row r="104" spans="1:11">
      <c r="A104" s="9" t="s">
        <v>482</v>
      </c>
      <c r="B104" s="10" t="s">
        <v>503</v>
      </c>
      <c r="C104" s="10" t="s">
        <v>505</v>
      </c>
      <c r="D104" s="14">
        <v>25</v>
      </c>
      <c r="E104" s="17" t="b">
        <v>0</v>
      </c>
      <c r="F104" s="20"/>
      <c r="G104" s="23">
        <f t="shared" si="3"/>
        <v>0</v>
      </c>
      <c r="H104" s="14">
        <f t="shared" si="4"/>
        <v>25</v>
      </c>
      <c r="I104" s="10" t="str">
        <f t="shared" si="5"/>
        <v>Do: مطلع شدن کاربر</v>
      </c>
      <c r="J104" s="39" t="s">
        <v>155</v>
      </c>
      <c r="K104" s="26" t="s">
        <v>321</v>
      </c>
    </row>
    <row r="105" spans="1:11">
      <c r="A105" s="9" t="s">
        <v>482</v>
      </c>
      <c r="B105" s="10" t="s">
        <v>506</v>
      </c>
      <c r="C105" s="10" t="s">
        <v>505</v>
      </c>
      <c r="D105" s="14">
        <v>20</v>
      </c>
      <c r="E105" s="17" t="b">
        <v>1</v>
      </c>
      <c r="F105" s="20"/>
      <c r="G105" s="23">
        <f t="shared" si="3"/>
        <v>20</v>
      </c>
      <c r="H105" s="14">
        <f t="shared" si="4"/>
        <v>0</v>
      </c>
      <c r="I105" s="10" t="str">
        <f t="shared" si="5"/>
        <v>Done</v>
      </c>
      <c r="J105" s="39" t="s">
        <v>155</v>
      </c>
      <c r="K105" s="26" t="s">
        <v>325</v>
      </c>
    </row>
    <row r="106" spans="1:11">
      <c r="A106" s="9" t="s">
        <v>482</v>
      </c>
      <c r="B106" s="10" t="s">
        <v>507</v>
      </c>
      <c r="C106" s="10" t="s">
        <v>508</v>
      </c>
      <c r="D106" s="14">
        <v>15</v>
      </c>
      <c r="E106" s="17" t="b">
        <v>1</v>
      </c>
      <c r="F106" s="20"/>
      <c r="G106" s="23">
        <f t="shared" si="3"/>
        <v>15</v>
      </c>
      <c r="H106" s="14">
        <f t="shared" si="4"/>
        <v>0</v>
      </c>
      <c r="I106" s="10" t="str">
        <f t="shared" si="5"/>
        <v>Done</v>
      </c>
      <c r="J106" s="39" t="s">
        <v>155</v>
      </c>
      <c r="K106" s="26" t="s">
        <v>327</v>
      </c>
    </row>
    <row r="107" spans="1:11">
      <c r="A107" s="9" t="s">
        <v>482</v>
      </c>
      <c r="B107" s="10" t="s">
        <v>509</v>
      </c>
      <c r="C107" s="10" t="s">
        <v>510</v>
      </c>
      <c r="D107" s="14">
        <v>15</v>
      </c>
      <c r="E107" s="17" t="b">
        <v>1</v>
      </c>
      <c r="F107" s="20"/>
      <c r="G107" s="23">
        <f t="shared" si="3"/>
        <v>15</v>
      </c>
      <c r="H107" s="14">
        <f t="shared" si="4"/>
        <v>0</v>
      </c>
      <c r="I107" s="10" t="str">
        <f t="shared" si="5"/>
        <v>Done</v>
      </c>
      <c r="J107" s="39" t="s">
        <v>155</v>
      </c>
      <c r="K107" s="26" t="s">
        <v>329</v>
      </c>
    </row>
    <row r="108" spans="1:11">
      <c r="A108" s="9" t="s">
        <v>511</v>
      </c>
      <c r="B108" s="10" t="s">
        <v>512</v>
      </c>
      <c r="C108" s="10" t="s">
        <v>488</v>
      </c>
      <c r="D108" s="14">
        <v>25</v>
      </c>
      <c r="E108" s="17" t="b">
        <v>1</v>
      </c>
      <c r="F108" s="20"/>
      <c r="G108" s="23">
        <f t="shared" si="3"/>
        <v>25</v>
      </c>
      <c r="H108" s="14">
        <f t="shared" si="4"/>
        <v>0</v>
      </c>
      <c r="I108" s="10" t="str">
        <f t="shared" si="5"/>
        <v>Done</v>
      </c>
      <c r="J108" s="39" t="s">
        <v>155</v>
      </c>
      <c r="K108" s="26" t="s">
        <v>332</v>
      </c>
    </row>
    <row r="109" spans="1:11">
      <c r="A109" s="9" t="s">
        <v>511</v>
      </c>
      <c r="B109" s="10" t="s">
        <v>512</v>
      </c>
      <c r="C109" s="10" t="s">
        <v>513</v>
      </c>
      <c r="D109" s="14">
        <v>20</v>
      </c>
      <c r="E109" s="17" t="b">
        <v>1</v>
      </c>
      <c r="F109" s="20"/>
      <c r="G109" s="23">
        <f t="shared" si="3"/>
        <v>20</v>
      </c>
      <c r="H109" s="14">
        <f t="shared" si="4"/>
        <v>0</v>
      </c>
      <c r="I109" s="10" t="str">
        <f t="shared" si="5"/>
        <v>Done</v>
      </c>
      <c r="J109" s="39" t="s">
        <v>155</v>
      </c>
      <c r="K109" s="26" t="s">
        <v>334</v>
      </c>
    </row>
    <row r="110" spans="1:11">
      <c r="A110" s="9" t="s">
        <v>511</v>
      </c>
      <c r="B110" s="10" t="s">
        <v>514</v>
      </c>
      <c r="C110" s="10" t="s">
        <v>515</v>
      </c>
      <c r="D110" s="14">
        <v>15</v>
      </c>
      <c r="E110" s="17" t="b">
        <v>1</v>
      </c>
      <c r="F110" s="20"/>
      <c r="G110" s="23">
        <f t="shared" si="3"/>
        <v>15</v>
      </c>
      <c r="H110" s="14">
        <f t="shared" si="4"/>
        <v>0</v>
      </c>
      <c r="I110" s="10" t="str">
        <f t="shared" si="5"/>
        <v>Done</v>
      </c>
      <c r="J110" s="39" t="s">
        <v>155</v>
      </c>
      <c r="K110" s="26" t="s">
        <v>336</v>
      </c>
    </row>
    <row r="111" spans="1:11">
      <c r="A111" s="9" t="s">
        <v>511</v>
      </c>
      <c r="B111" s="10" t="s">
        <v>514</v>
      </c>
      <c r="C111" s="10" t="s">
        <v>513</v>
      </c>
      <c r="D111" s="14">
        <v>20</v>
      </c>
      <c r="E111" s="17" t="b">
        <v>1</v>
      </c>
      <c r="F111" s="20"/>
      <c r="G111" s="23">
        <f t="shared" si="3"/>
        <v>20</v>
      </c>
      <c r="H111" s="14">
        <f t="shared" si="4"/>
        <v>0</v>
      </c>
      <c r="I111" s="10" t="str">
        <f t="shared" si="5"/>
        <v>Done</v>
      </c>
      <c r="J111" s="39" t="s">
        <v>155</v>
      </c>
      <c r="K111" s="26" t="s">
        <v>340</v>
      </c>
    </row>
    <row r="112" spans="1:11">
      <c r="A112" s="9" t="s">
        <v>511</v>
      </c>
      <c r="B112" s="10" t="s">
        <v>514</v>
      </c>
      <c r="C112" s="10" t="s">
        <v>516</v>
      </c>
      <c r="D112" s="14">
        <v>25</v>
      </c>
      <c r="E112" s="17" t="b">
        <v>1</v>
      </c>
      <c r="F112" s="20"/>
      <c r="G112" s="23">
        <f t="shared" si="3"/>
        <v>25</v>
      </c>
      <c r="H112" s="14">
        <f t="shared" si="4"/>
        <v>0</v>
      </c>
      <c r="I112" s="10" t="str">
        <f t="shared" si="5"/>
        <v>Done</v>
      </c>
      <c r="J112" s="39" t="s">
        <v>155</v>
      </c>
      <c r="K112" s="26" t="s">
        <v>342</v>
      </c>
    </row>
    <row r="113" spans="1:11">
      <c r="A113" s="9" t="s">
        <v>511</v>
      </c>
      <c r="B113" s="10" t="s">
        <v>517</v>
      </c>
      <c r="C113" s="10" t="s">
        <v>518</v>
      </c>
      <c r="D113" s="14">
        <v>15</v>
      </c>
      <c r="E113" s="17" t="b">
        <v>0</v>
      </c>
      <c r="F113" s="20"/>
      <c r="G113" s="23">
        <f t="shared" si="3"/>
        <v>0</v>
      </c>
      <c r="H113" s="14">
        <f t="shared" si="4"/>
        <v>15</v>
      </c>
      <c r="I113" s="10" t="str">
        <f t="shared" si="5"/>
        <v>Do: دادن غذای گیاه</v>
      </c>
      <c r="J113" s="39" t="s">
        <v>155</v>
      </c>
      <c r="K113" s="26" t="s">
        <v>344</v>
      </c>
    </row>
    <row r="114" spans="1:11">
      <c r="A114" s="9" t="s">
        <v>511</v>
      </c>
      <c r="B114" s="10" t="s">
        <v>517</v>
      </c>
      <c r="C114" s="10" t="s">
        <v>513</v>
      </c>
      <c r="D114" s="14">
        <v>20</v>
      </c>
      <c r="E114" s="17" t="b">
        <v>0</v>
      </c>
      <c r="F114" s="20"/>
      <c r="G114" s="23">
        <f t="shared" si="3"/>
        <v>0</v>
      </c>
      <c r="H114" s="14">
        <f t="shared" si="4"/>
        <v>20</v>
      </c>
      <c r="I114" s="10" t="str">
        <f t="shared" si="5"/>
        <v>Do: خانه تحت تأثیر</v>
      </c>
      <c r="J114" s="39" t="s">
        <v>155</v>
      </c>
      <c r="K114" s="26" t="s">
        <v>346</v>
      </c>
    </row>
    <row r="115" spans="1:11">
      <c r="A115" s="9" t="s">
        <v>511</v>
      </c>
      <c r="B115" s="10" t="s">
        <v>517</v>
      </c>
      <c r="C115" s="10" t="s">
        <v>516</v>
      </c>
      <c r="D115" s="14">
        <v>25</v>
      </c>
      <c r="E115" s="17" t="b">
        <v>0</v>
      </c>
      <c r="F115" s="20"/>
      <c r="G115" s="23">
        <f t="shared" si="3"/>
        <v>0</v>
      </c>
      <c r="H115" s="14">
        <f t="shared" si="4"/>
        <v>25</v>
      </c>
      <c r="I115" s="10" t="str">
        <f t="shared" si="5"/>
        <v>Do: اشاره‌گر موس</v>
      </c>
      <c r="J115" s="39" t="s">
        <v>155</v>
      </c>
      <c r="K115" s="26" t="s">
        <v>348</v>
      </c>
    </row>
    <row r="116" spans="1:11">
      <c r="A116" s="9" t="s">
        <v>511</v>
      </c>
      <c r="B116" s="10" t="s">
        <v>519</v>
      </c>
      <c r="C116" s="10" t="s">
        <v>520</v>
      </c>
      <c r="D116" s="14">
        <v>20</v>
      </c>
      <c r="E116" s="17" t="b">
        <v>1</v>
      </c>
      <c r="F116" s="20"/>
      <c r="G116" s="23">
        <f t="shared" si="3"/>
        <v>20</v>
      </c>
      <c r="H116" s="14">
        <f t="shared" si="4"/>
        <v>0</v>
      </c>
      <c r="I116" s="10" t="str">
        <f t="shared" si="5"/>
        <v>Done</v>
      </c>
      <c r="J116" s="39" t="s">
        <v>155</v>
      </c>
      <c r="K116" s="26" t="s">
        <v>350</v>
      </c>
    </row>
    <row r="117" spans="1:11">
      <c r="A117" s="9" t="s">
        <v>511</v>
      </c>
      <c r="B117" s="10" t="s">
        <v>521</v>
      </c>
      <c r="C117" s="10" t="s">
        <v>522</v>
      </c>
      <c r="D117" s="14">
        <v>20</v>
      </c>
      <c r="E117" s="17" t="b">
        <v>1</v>
      </c>
      <c r="F117" s="20"/>
      <c r="G117" s="23">
        <f t="shared" si="3"/>
        <v>20</v>
      </c>
      <c r="H117" s="14">
        <f t="shared" si="4"/>
        <v>0</v>
      </c>
      <c r="I117" s="10" t="str">
        <f t="shared" si="5"/>
        <v>Done</v>
      </c>
      <c r="J117" s="39" t="s">
        <v>155</v>
      </c>
      <c r="K117" s="26" t="s">
        <v>352</v>
      </c>
    </row>
    <row r="118" spans="1:11">
      <c r="A118" s="9" t="s">
        <v>511</v>
      </c>
      <c r="B118" s="10" t="s">
        <v>521</v>
      </c>
      <c r="C118" s="10" t="s">
        <v>523</v>
      </c>
      <c r="D118" s="14">
        <v>15</v>
      </c>
      <c r="E118" s="17" t="b">
        <v>1</v>
      </c>
      <c r="F118" s="20"/>
      <c r="G118" s="23">
        <f t="shared" si="3"/>
        <v>15</v>
      </c>
      <c r="H118" s="14">
        <f t="shared" si="4"/>
        <v>0</v>
      </c>
      <c r="I118" s="10" t="str">
        <f t="shared" si="5"/>
        <v>Done</v>
      </c>
      <c r="J118" s="39" t="s">
        <v>155</v>
      </c>
      <c r="K118" s="26" t="s">
        <v>354</v>
      </c>
    </row>
    <row r="119" spans="1:11">
      <c r="A119" s="9" t="s">
        <v>524</v>
      </c>
      <c r="B119" s="10" t="s">
        <v>525</v>
      </c>
      <c r="C119" s="10" t="s">
        <v>526</v>
      </c>
      <c r="D119" s="14">
        <v>50</v>
      </c>
      <c r="E119" s="17" t="b">
        <v>1</v>
      </c>
      <c r="F119" s="20"/>
      <c r="G119" s="23">
        <f t="shared" si="3"/>
        <v>50</v>
      </c>
      <c r="H119" s="14">
        <f t="shared" si="4"/>
        <v>0</v>
      </c>
      <c r="I119" s="10" t="str">
        <f t="shared" si="5"/>
        <v>Done</v>
      </c>
      <c r="J119" s="39" t="s">
        <v>155</v>
      </c>
      <c r="K119" s="26" t="s">
        <v>356</v>
      </c>
    </row>
    <row r="120" spans="1:11">
      <c r="A120" s="9" t="s">
        <v>524</v>
      </c>
      <c r="B120" s="10" t="s">
        <v>525</v>
      </c>
      <c r="C120" s="10" t="s">
        <v>527</v>
      </c>
      <c r="D120" s="14">
        <v>20</v>
      </c>
      <c r="E120" s="17" t="b">
        <v>1</v>
      </c>
      <c r="F120" s="20"/>
      <c r="G120" s="23">
        <f t="shared" si="3"/>
        <v>20</v>
      </c>
      <c r="H120" s="14">
        <f t="shared" si="4"/>
        <v>0</v>
      </c>
      <c r="I120" s="10" t="str">
        <f t="shared" si="5"/>
        <v>Done</v>
      </c>
      <c r="J120" s="39" t="s">
        <v>155</v>
      </c>
      <c r="K120" s="26" t="s">
        <v>357</v>
      </c>
    </row>
    <row r="121" spans="1:11">
      <c r="A121" s="9" t="s">
        <v>524</v>
      </c>
      <c r="B121" s="10" t="s">
        <v>525</v>
      </c>
      <c r="C121" s="10" t="s">
        <v>528</v>
      </c>
      <c r="D121" s="14">
        <v>15</v>
      </c>
      <c r="E121" s="17" t="b">
        <v>1</v>
      </c>
      <c r="F121" s="20"/>
      <c r="G121" s="23">
        <f t="shared" si="3"/>
        <v>15</v>
      </c>
      <c r="H121" s="14">
        <f t="shared" si="4"/>
        <v>0</v>
      </c>
      <c r="I121" s="10" t="str">
        <f t="shared" si="5"/>
        <v>Done</v>
      </c>
      <c r="J121" s="39" t="s">
        <v>155</v>
      </c>
      <c r="K121" s="26" t="s">
        <v>358</v>
      </c>
    </row>
    <row r="122" spans="1:11">
      <c r="A122" s="9" t="s">
        <v>524</v>
      </c>
      <c r="B122" s="10" t="s">
        <v>525</v>
      </c>
      <c r="C122" s="10" t="s">
        <v>529</v>
      </c>
      <c r="D122" s="14">
        <v>20</v>
      </c>
      <c r="E122" s="17" t="b">
        <v>1</v>
      </c>
      <c r="F122" s="20"/>
      <c r="G122" s="23">
        <f t="shared" si="3"/>
        <v>20</v>
      </c>
      <c r="H122" s="14">
        <f t="shared" si="4"/>
        <v>0</v>
      </c>
      <c r="I122" s="10" t="str">
        <f t="shared" si="5"/>
        <v>Done</v>
      </c>
      <c r="J122" s="39" t="s">
        <v>155</v>
      </c>
      <c r="K122" s="26" t="s">
        <v>360</v>
      </c>
    </row>
    <row r="123" spans="1:11">
      <c r="A123" s="9" t="s">
        <v>524</v>
      </c>
      <c r="B123" s="10" t="s">
        <v>525</v>
      </c>
      <c r="C123" s="10" t="s">
        <v>530</v>
      </c>
      <c r="D123" s="14">
        <v>15</v>
      </c>
      <c r="E123" s="17" t="b">
        <v>1</v>
      </c>
      <c r="F123" s="20"/>
      <c r="G123" s="23">
        <f t="shared" si="3"/>
        <v>15</v>
      </c>
      <c r="H123" s="14">
        <f t="shared" si="4"/>
        <v>0</v>
      </c>
      <c r="I123" s="10" t="str">
        <f t="shared" si="5"/>
        <v>Done</v>
      </c>
      <c r="J123" s="39" t="s">
        <v>155</v>
      </c>
      <c r="K123" s="26" t="s">
        <v>362</v>
      </c>
    </row>
    <row r="124" spans="1:11">
      <c r="A124" s="9" t="s">
        <v>524</v>
      </c>
      <c r="B124" s="10" t="s">
        <v>525</v>
      </c>
      <c r="C124" s="10" t="s">
        <v>422</v>
      </c>
      <c r="D124" s="14">
        <v>10</v>
      </c>
      <c r="E124" s="17" t="b">
        <v>1</v>
      </c>
      <c r="F124" s="20"/>
      <c r="G124" s="23">
        <f t="shared" si="3"/>
        <v>10</v>
      </c>
      <c r="H124" s="14">
        <f t="shared" si="4"/>
        <v>0</v>
      </c>
      <c r="I124" s="10" t="str">
        <f t="shared" si="5"/>
        <v>Done</v>
      </c>
      <c r="J124" s="39" t="s">
        <v>155</v>
      </c>
      <c r="K124" s="26" t="s">
        <v>363</v>
      </c>
    </row>
    <row r="125" spans="1:11">
      <c r="A125" s="9" t="s">
        <v>524</v>
      </c>
      <c r="B125" s="10" t="s">
        <v>531</v>
      </c>
      <c r="C125" s="10" t="s">
        <v>532</v>
      </c>
      <c r="D125" s="14">
        <v>35</v>
      </c>
      <c r="E125" s="17" t="b">
        <v>1</v>
      </c>
      <c r="F125" s="20"/>
      <c r="G125" s="23">
        <f t="shared" si="3"/>
        <v>35</v>
      </c>
      <c r="H125" s="14">
        <f t="shared" si="4"/>
        <v>0</v>
      </c>
      <c r="I125" s="10" t="str">
        <f t="shared" si="5"/>
        <v>Done</v>
      </c>
      <c r="J125" s="39" t="s">
        <v>155</v>
      </c>
      <c r="K125" s="26" t="s">
        <v>364</v>
      </c>
    </row>
    <row r="126" spans="1:11">
      <c r="A126" s="9" t="s">
        <v>524</v>
      </c>
      <c r="B126" s="10" t="s">
        <v>531</v>
      </c>
      <c r="C126" s="10" t="s">
        <v>533</v>
      </c>
      <c r="D126" s="14">
        <v>20</v>
      </c>
      <c r="E126" s="17" t="b">
        <v>1</v>
      </c>
      <c r="F126" s="20"/>
      <c r="G126" s="23">
        <f t="shared" si="3"/>
        <v>20</v>
      </c>
      <c r="H126" s="14">
        <f t="shared" si="4"/>
        <v>0</v>
      </c>
      <c r="I126" s="10" t="str">
        <f t="shared" si="5"/>
        <v>Done</v>
      </c>
      <c r="J126" s="39" t="s">
        <v>155</v>
      </c>
      <c r="K126" s="26" t="s">
        <v>367</v>
      </c>
    </row>
    <row r="127" spans="1:11">
      <c r="A127" s="9" t="s">
        <v>524</v>
      </c>
      <c r="B127" s="10" t="s">
        <v>534</v>
      </c>
      <c r="C127" s="10" t="s">
        <v>535</v>
      </c>
      <c r="D127" s="14">
        <v>10</v>
      </c>
      <c r="E127" s="17" t="b">
        <v>1</v>
      </c>
      <c r="F127" s="20"/>
      <c r="G127" s="23">
        <f t="shared" si="3"/>
        <v>10</v>
      </c>
      <c r="H127" s="14">
        <f t="shared" si="4"/>
        <v>0</v>
      </c>
      <c r="I127" s="10" t="str">
        <f t="shared" si="5"/>
        <v>Done</v>
      </c>
      <c r="J127" s="39" t="s">
        <v>155</v>
      </c>
      <c r="K127" s="26" t="s">
        <v>369</v>
      </c>
    </row>
    <row r="128" spans="1:11">
      <c r="A128" s="9" t="s">
        <v>524</v>
      </c>
      <c r="B128" s="10" t="s">
        <v>536</v>
      </c>
      <c r="C128" s="10" t="s">
        <v>537</v>
      </c>
      <c r="D128" s="14">
        <v>10</v>
      </c>
      <c r="E128" s="17" t="b">
        <v>1</v>
      </c>
      <c r="F128" s="20"/>
      <c r="G128" s="23">
        <f t="shared" si="3"/>
        <v>10</v>
      </c>
      <c r="H128" s="14">
        <f t="shared" si="4"/>
        <v>0</v>
      </c>
      <c r="I128" s="10" t="str">
        <f t="shared" si="5"/>
        <v>Done</v>
      </c>
      <c r="J128" s="39" t="s">
        <v>155</v>
      </c>
      <c r="K128" s="26" t="s">
        <v>371</v>
      </c>
    </row>
    <row r="129" spans="1:11">
      <c r="A129" s="9" t="s">
        <v>524</v>
      </c>
      <c r="B129" s="10" t="s">
        <v>538</v>
      </c>
      <c r="C129" s="10" t="s">
        <v>539</v>
      </c>
      <c r="D129" s="14">
        <v>20</v>
      </c>
      <c r="E129" s="17" t="b">
        <v>1</v>
      </c>
      <c r="F129" s="20"/>
      <c r="G129" s="23">
        <f t="shared" si="3"/>
        <v>20</v>
      </c>
      <c r="H129" s="14">
        <f t="shared" si="4"/>
        <v>0</v>
      </c>
      <c r="I129" s="10" t="str">
        <f t="shared" si="5"/>
        <v>Done</v>
      </c>
      <c r="J129" s="39" t="s">
        <v>155</v>
      </c>
      <c r="K129" s="26" t="s">
        <v>373</v>
      </c>
    </row>
    <row r="130" spans="1:11">
      <c r="A130" s="9" t="s">
        <v>524</v>
      </c>
      <c r="B130" s="10" t="s">
        <v>540</v>
      </c>
      <c r="C130" s="10" t="s">
        <v>541</v>
      </c>
      <c r="D130" s="14">
        <v>5</v>
      </c>
      <c r="E130" s="17" t="b">
        <v>1</v>
      </c>
      <c r="F130" s="20"/>
      <c r="G130" s="23">
        <f t="shared" si="3"/>
        <v>5</v>
      </c>
      <c r="H130" s="14">
        <f t="shared" si="4"/>
        <v>0</v>
      </c>
      <c r="I130" s="10" t="str">
        <f t="shared" si="5"/>
        <v>Done</v>
      </c>
      <c r="J130" s="39" t="s">
        <v>155</v>
      </c>
      <c r="K130" s="26" t="s">
        <v>375</v>
      </c>
    </row>
    <row r="131" spans="1:11">
      <c r="A131" s="9" t="s">
        <v>524</v>
      </c>
      <c r="B131" s="10" t="s">
        <v>542</v>
      </c>
      <c r="C131" s="10" t="s">
        <v>543</v>
      </c>
      <c r="D131" s="14">
        <v>20</v>
      </c>
      <c r="E131" s="17" t="b">
        <v>1</v>
      </c>
      <c r="F131" s="20"/>
      <c r="G131" s="23">
        <f t="shared" si="3"/>
        <v>20</v>
      </c>
      <c r="H131" s="14">
        <f t="shared" si="4"/>
        <v>0</v>
      </c>
      <c r="I131" s="10" t="str">
        <f t="shared" si="5"/>
        <v>Done</v>
      </c>
      <c r="J131" s="39" t="s">
        <v>155</v>
      </c>
      <c r="K131" s="26" t="s">
        <v>376</v>
      </c>
    </row>
    <row r="132" spans="1:11">
      <c r="A132" s="9" t="s">
        <v>524</v>
      </c>
      <c r="B132" s="10" t="s">
        <v>542</v>
      </c>
      <c r="C132" s="10" t="s">
        <v>544</v>
      </c>
      <c r="D132" s="14">
        <v>25</v>
      </c>
      <c r="E132" s="17" t="b">
        <v>1</v>
      </c>
      <c r="F132" s="20"/>
      <c r="G132" s="23">
        <f t="shared" si="3"/>
        <v>25</v>
      </c>
      <c r="H132" s="14">
        <f t="shared" si="4"/>
        <v>0</v>
      </c>
      <c r="I132" s="10" t="str">
        <f t="shared" si="5"/>
        <v>Done</v>
      </c>
      <c r="J132" s="39" t="s">
        <v>155</v>
      </c>
      <c r="K132" s="26" t="s">
        <v>377</v>
      </c>
    </row>
    <row r="133" spans="1:11">
      <c r="A133" s="9" t="s">
        <v>545</v>
      </c>
      <c r="B133" s="10" t="s">
        <v>546</v>
      </c>
      <c r="C133" s="10" t="s">
        <v>547</v>
      </c>
      <c r="D133" s="14">
        <v>30</v>
      </c>
      <c r="E133" s="17" t="b">
        <v>1</v>
      </c>
      <c r="F133" s="20"/>
      <c r="G133" s="23">
        <f t="shared" si="3"/>
        <v>30</v>
      </c>
      <c r="H133" s="14">
        <f t="shared" si="4"/>
        <v>0</v>
      </c>
      <c r="I133" s="10" t="str">
        <f t="shared" si="5"/>
        <v>Done</v>
      </c>
      <c r="J133" s="39" t="s">
        <v>155</v>
      </c>
      <c r="K133" s="26" t="s">
        <v>378</v>
      </c>
    </row>
    <row r="134" spans="1:11">
      <c r="A134" s="9" t="s">
        <v>545</v>
      </c>
      <c r="B134" s="10" t="s">
        <v>546</v>
      </c>
      <c r="C134" s="10" t="s">
        <v>548</v>
      </c>
      <c r="D134" s="14">
        <v>25</v>
      </c>
      <c r="E134" s="17" t="b">
        <v>1</v>
      </c>
      <c r="F134" s="20"/>
      <c r="G134" s="23">
        <f t="shared" si="3"/>
        <v>25</v>
      </c>
      <c r="H134" s="14">
        <f t="shared" si="4"/>
        <v>0</v>
      </c>
      <c r="I134" s="10" t="str">
        <f t="shared" si="5"/>
        <v>Done</v>
      </c>
      <c r="J134" s="39" t="s">
        <v>155</v>
      </c>
      <c r="K134" s="26" t="s">
        <v>381</v>
      </c>
    </row>
    <row r="135" spans="1:11">
      <c r="A135" s="9" t="s">
        <v>545</v>
      </c>
      <c r="B135" s="10" t="s">
        <v>546</v>
      </c>
      <c r="C135" s="10" t="s">
        <v>533</v>
      </c>
      <c r="D135" s="14">
        <v>35</v>
      </c>
      <c r="E135" s="17" t="b">
        <v>1</v>
      </c>
      <c r="F135" s="20"/>
      <c r="G135" s="23">
        <f t="shared" si="3"/>
        <v>35</v>
      </c>
      <c r="H135" s="14">
        <f t="shared" si="4"/>
        <v>0</v>
      </c>
      <c r="I135" s="10" t="str">
        <f t="shared" si="5"/>
        <v>Done</v>
      </c>
      <c r="J135" s="39" t="s">
        <v>155</v>
      </c>
      <c r="K135" s="26" t="s">
        <v>383</v>
      </c>
    </row>
    <row r="136" spans="1:11">
      <c r="A136" s="9" t="s">
        <v>545</v>
      </c>
      <c r="B136" s="10" t="s">
        <v>549</v>
      </c>
      <c r="C136" s="10" t="s">
        <v>550</v>
      </c>
      <c r="D136" s="14">
        <v>25</v>
      </c>
      <c r="E136" s="17" t="b">
        <v>1</v>
      </c>
      <c r="F136" s="20"/>
      <c r="G136" s="23">
        <f t="shared" si="3"/>
        <v>25</v>
      </c>
      <c r="H136" s="14">
        <f t="shared" si="4"/>
        <v>0</v>
      </c>
      <c r="I136" s="10" t="str">
        <f t="shared" si="5"/>
        <v>Done</v>
      </c>
      <c r="J136" s="39" t="s">
        <v>155</v>
      </c>
      <c r="K136" s="26" t="s">
        <v>385</v>
      </c>
    </row>
    <row r="137" spans="1:11">
      <c r="A137" s="9" t="s">
        <v>545</v>
      </c>
      <c r="B137" s="10" t="s">
        <v>549</v>
      </c>
      <c r="C137" s="10" t="s">
        <v>551</v>
      </c>
      <c r="D137" s="14">
        <v>25</v>
      </c>
      <c r="E137" s="17" t="b">
        <v>1</v>
      </c>
      <c r="F137" s="20"/>
      <c r="G137" s="23">
        <f t="shared" si="3"/>
        <v>25</v>
      </c>
      <c r="H137" s="14">
        <f t="shared" si="4"/>
        <v>0</v>
      </c>
      <c r="I137" s="10" t="str">
        <f t="shared" si="5"/>
        <v>Done</v>
      </c>
      <c r="J137" s="39" t="s">
        <v>155</v>
      </c>
      <c r="K137" s="26" t="s">
        <v>386</v>
      </c>
    </row>
    <row r="138" spans="1:11">
      <c r="A138" s="9" t="s">
        <v>545</v>
      </c>
      <c r="B138" s="10" t="s">
        <v>549</v>
      </c>
      <c r="C138" s="10" t="s">
        <v>552</v>
      </c>
      <c r="D138" s="14">
        <v>10</v>
      </c>
      <c r="E138" s="17" t="b">
        <v>1</v>
      </c>
      <c r="F138" s="20"/>
      <c r="G138" s="23">
        <f t="shared" si="3"/>
        <v>10</v>
      </c>
      <c r="H138" s="14">
        <f t="shared" si="4"/>
        <v>0</v>
      </c>
      <c r="I138" s="10" t="str">
        <f t="shared" si="5"/>
        <v>Done</v>
      </c>
      <c r="J138" s="39" t="s">
        <v>155</v>
      </c>
      <c r="K138" s="26" t="s">
        <v>388</v>
      </c>
    </row>
    <row r="139" spans="1:11">
      <c r="A139" s="9" t="s">
        <v>545</v>
      </c>
      <c r="B139" s="10" t="s">
        <v>549</v>
      </c>
      <c r="C139" s="10" t="s">
        <v>553</v>
      </c>
      <c r="D139" s="14">
        <v>30</v>
      </c>
      <c r="E139" s="17" t="b">
        <v>1</v>
      </c>
      <c r="F139" s="20"/>
      <c r="G139" s="23">
        <f t="shared" ref="G139:G202" si="6">IF(E139,D139,IF(F139="",0,MIN(MAX(F139,0),D139)))</f>
        <v>30</v>
      </c>
      <c r="H139" s="14">
        <f t="shared" ref="H139:H202" si="7">MAX(D139-G139,0)</f>
        <v>0</v>
      </c>
      <c r="I139" s="10" t="str">
        <f t="shared" ref="I139:I202" si="8">IF(D139=0,"No points attached",IF(G139=D139,"Done",IF(G139=0,"Do: "&amp;C139,"Finish: "&amp;C139&amp;" ("&amp;TEXT(H139,"0.##")&amp;" pts left)")))</f>
        <v>Done</v>
      </c>
      <c r="J139" s="39" t="s">
        <v>155</v>
      </c>
      <c r="K139" s="26" t="s">
        <v>392</v>
      </c>
    </row>
    <row r="140" spans="1:11">
      <c r="A140" s="9" t="s">
        <v>545</v>
      </c>
      <c r="B140" s="10" t="s">
        <v>554</v>
      </c>
      <c r="C140" s="10" t="s">
        <v>418</v>
      </c>
      <c r="D140" s="14">
        <v>50</v>
      </c>
      <c r="E140" s="17" t="b">
        <v>1</v>
      </c>
      <c r="F140" s="20"/>
      <c r="G140" s="23">
        <f t="shared" si="6"/>
        <v>50</v>
      </c>
      <c r="H140" s="14">
        <f t="shared" si="7"/>
        <v>0</v>
      </c>
      <c r="I140" s="10" t="str">
        <f t="shared" si="8"/>
        <v>Done</v>
      </c>
      <c r="J140" s="39" t="s">
        <v>155</v>
      </c>
      <c r="K140" s="26" t="s">
        <v>555</v>
      </c>
    </row>
    <row r="141" spans="1:11">
      <c r="A141" s="9" t="s">
        <v>545</v>
      </c>
      <c r="B141" s="10" t="s">
        <v>554</v>
      </c>
      <c r="C141" s="10" t="s">
        <v>556</v>
      </c>
      <c r="D141" s="14">
        <v>25</v>
      </c>
      <c r="E141" s="17" t="b">
        <v>1</v>
      </c>
      <c r="F141" s="20"/>
      <c r="G141" s="23">
        <f t="shared" si="6"/>
        <v>25</v>
      </c>
      <c r="H141" s="14">
        <f t="shared" si="7"/>
        <v>0</v>
      </c>
      <c r="I141" s="10" t="str">
        <f t="shared" si="8"/>
        <v>Done</v>
      </c>
      <c r="J141" s="39" t="s">
        <v>155</v>
      </c>
      <c r="K141" s="26" t="s">
        <v>557</v>
      </c>
    </row>
    <row r="142" spans="1:11">
      <c r="A142" s="9" t="s">
        <v>545</v>
      </c>
      <c r="B142" s="10" t="s">
        <v>554</v>
      </c>
      <c r="C142" s="10" t="s">
        <v>558</v>
      </c>
      <c r="D142" s="14">
        <v>25</v>
      </c>
      <c r="E142" s="17" t="b">
        <v>1</v>
      </c>
      <c r="F142" s="20"/>
      <c r="G142" s="23">
        <f t="shared" si="6"/>
        <v>25</v>
      </c>
      <c r="H142" s="14">
        <f t="shared" si="7"/>
        <v>0</v>
      </c>
      <c r="I142" s="10" t="str">
        <f t="shared" si="8"/>
        <v>Done</v>
      </c>
      <c r="J142" s="39" t="s">
        <v>155</v>
      </c>
      <c r="K142" s="26" t="s">
        <v>559</v>
      </c>
    </row>
    <row r="143" spans="1:11">
      <c r="A143" s="9" t="s">
        <v>545</v>
      </c>
      <c r="B143" s="10" t="s">
        <v>554</v>
      </c>
      <c r="C143" s="10" t="s">
        <v>560</v>
      </c>
      <c r="D143" s="14">
        <v>30</v>
      </c>
      <c r="E143" s="17" t="b">
        <v>1</v>
      </c>
      <c r="F143" s="20"/>
      <c r="G143" s="23">
        <f t="shared" si="6"/>
        <v>30</v>
      </c>
      <c r="H143" s="14">
        <f t="shared" si="7"/>
        <v>0</v>
      </c>
      <c r="I143" s="10" t="str">
        <f t="shared" si="8"/>
        <v>Done</v>
      </c>
      <c r="J143" s="39" t="s">
        <v>155</v>
      </c>
      <c r="K143" s="26" t="s">
        <v>561</v>
      </c>
    </row>
    <row r="144" spans="1:11">
      <c r="A144" s="9" t="s">
        <v>545</v>
      </c>
      <c r="B144" s="10" t="s">
        <v>554</v>
      </c>
      <c r="C144" s="10" t="s">
        <v>562</v>
      </c>
      <c r="D144" s="14">
        <v>20</v>
      </c>
      <c r="E144" s="17" t="b">
        <v>1</v>
      </c>
      <c r="F144" s="20"/>
      <c r="G144" s="23">
        <f t="shared" si="6"/>
        <v>20</v>
      </c>
      <c r="H144" s="14">
        <f t="shared" si="7"/>
        <v>0</v>
      </c>
      <c r="I144" s="10" t="str">
        <f t="shared" si="8"/>
        <v>Done</v>
      </c>
      <c r="J144" s="39" t="s">
        <v>155</v>
      </c>
      <c r="K144" s="26" t="s">
        <v>563</v>
      </c>
    </row>
    <row r="145" spans="1:11">
      <c r="A145" s="9" t="s">
        <v>564</v>
      </c>
      <c r="B145" s="10" t="s">
        <v>565</v>
      </c>
      <c r="C145" s="10" t="s">
        <v>566</v>
      </c>
      <c r="D145" s="14">
        <v>25</v>
      </c>
      <c r="E145" s="17" t="b">
        <v>1</v>
      </c>
      <c r="F145" s="20"/>
      <c r="G145" s="23">
        <f t="shared" si="6"/>
        <v>25</v>
      </c>
      <c r="H145" s="14">
        <f t="shared" si="7"/>
        <v>0</v>
      </c>
      <c r="I145" s="10" t="str">
        <f t="shared" si="8"/>
        <v>Done</v>
      </c>
      <c r="J145" s="39" t="s">
        <v>155</v>
      </c>
      <c r="K145" s="26" t="s">
        <v>567</v>
      </c>
    </row>
    <row r="146" spans="1:11">
      <c r="A146" s="9" t="s">
        <v>564</v>
      </c>
      <c r="B146" s="10" t="s">
        <v>568</v>
      </c>
      <c r="C146" s="10" t="s">
        <v>569</v>
      </c>
      <c r="D146" s="14">
        <v>25</v>
      </c>
      <c r="E146" s="17" t="b">
        <v>1</v>
      </c>
      <c r="F146" s="20"/>
      <c r="G146" s="23">
        <f t="shared" si="6"/>
        <v>25</v>
      </c>
      <c r="H146" s="14">
        <f t="shared" si="7"/>
        <v>0</v>
      </c>
      <c r="I146" s="10" t="str">
        <f t="shared" si="8"/>
        <v>Done</v>
      </c>
      <c r="J146" s="39" t="s">
        <v>155</v>
      </c>
      <c r="K146" s="26" t="s">
        <v>570</v>
      </c>
    </row>
    <row r="147" spans="1:11">
      <c r="A147" s="9" t="s">
        <v>564</v>
      </c>
      <c r="B147" s="10" t="s">
        <v>568</v>
      </c>
      <c r="C147" s="10" t="s">
        <v>571</v>
      </c>
      <c r="D147" s="14">
        <v>10</v>
      </c>
      <c r="E147" s="17" t="b">
        <v>1</v>
      </c>
      <c r="F147" s="20"/>
      <c r="G147" s="23">
        <f t="shared" si="6"/>
        <v>10</v>
      </c>
      <c r="H147" s="14">
        <f t="shared" si="7"/>
        <v>0</v>
      </c>
      <c r="I147" s="10" t="str">
        <f t="shared" si="8"/>
        <v>Done</v>
      </c>
      <c r="J147" s="39" t="s">
        <v>155</v>
      </c>
      <c r="K147" s="26" t="s">
        <v>572</v>
      </c>
    </row>
    <row r="148" spans="1:11">
      <c r="A148" s="9" t="s">
        <v>564</v>
      </c>
      <c r="B148" s="10" t="s">
        <v>568</v>
      </c>
      <c r="C148" s="10" t="s">
        <v>573</v>
      </c>
      <c r="D148" s="14">
        <v>25</v>
      </c>
      <c r="E148" s="17" t="b">
        <v>1</v>
      </c>
      <c r="F148" s="20"/>
      <c r="G148" s="23">
        <f t="shared" si="6"/>
        <v>25</v>
      </c>
      <c r="H148" s="14">
        <f t="shared" si="7"/>
        <v>0</v>
      </c>
      <c r="I148" s="10" t="str">
        <f t="shared" si="8"/>
        <v>Done</v>
      </c>
      <c r="J148" s="39" t="s">
        <v>155</v>
      </c>
      <c r="K148" s="26" t="s">
        <v>574</v>
      </c>
    </row>
    <row r="149" spans="1:11">
      <c r="A149" s="9" t="s">
        <v>564</v>
      </c>
      <c r="B149" s="10" t="s">
        <v>575</v>
      </c>
      <c r="C149" s="10" t="s">
        <v>576</v>
      </c>
      <c r="D149" s="14">
        <v>50</v>
      </c>
      <c r="E149" s="17" t="b">
        <v>1</v>
      </c>
      <c r="F149" s="20"/>
      <c r="G149" s="23">
        <f t="shared" si="6"/>
        <v>50</v>
      </c>
      <c r="H149" s="14">
        <f t="shared" si="7"/>
        <v>0</v>
      </c>
      <c r="I149" s="10" t="str">
        <f t="shared" si="8"/>
        <v>Done</v>
      </c>
      <c r="J149" s="39" t="s">
        <v>155</v>
      </c>
      <c r="K149" s="26" t="s">
        <v>577</v>
      </c>
    </row>
    <row r="150" spans="1:11">
      <c r="A150" s="9" t="s">
        <v>564</v>
      </c>
      <c r="B150" s="10" t="s">
        <v>575</v>
      </c>
      <c r="C150" s="10" t="s">
        <v>578</v>
      </c>
      <c r="D150" s="14">
        <v>20</v>
      </c>
      <c r="E150" s="17" t="b">
        <v>1</v>
      </c>
      <c r="F150" s="20"/>
      <c r="G150" s="23">
        <f t="shared" si="6"/>
        <v>20</v>
      </c>
      <c r="H150" s="14">
        <f t="shared" si="7"/>
        <v>0</v>
      </c>
      <c r="I150" s="10" t="str">
        <f t="shared" si="8"/>
        <v>Done</v>
      </c>
      <c r="J150" s="39" t="s">
        <v>155</v>
      </c>
      <c r="K150" s="26" t="s">
        <v>579</v>
      </c>
    </row>
    <row r="151" spans="1:11">
      <c r="A151" s="9" t="s">
        <v>564</v>
      </c>
      <c r="B151" s="10" t="s">
        <v>575</v>
      </c>
      <c r="C151" s="10" t="s">
        <v>580</v>
      </c>
      <c r="D151" s="14">
        <v>10</v>
      </c>
      <c r="E151" s="17" t="b">
        <v>1</v>
      </c>
      <c r="F151" s="20"/>
      <c r="G151" s="23">
        <f t="shared" si="6"/>
        <v>10</v>
      </c>
      <c r="H151" s="14">
        <f t="shared" si="7"/>
        <v>0</v>
      </c>
      <c r="I151" s="10" t="str">
        <f t="shared" si="8"/>
        <v>Done</v>
      </c>
      <c r="J151" s="39" t="s">
        <v>155</v>
      </c>
      <c r="K151" s="26" t="s">
        <v>581</v>
      </c>
    </row>
    <row r="152" spans="1:11">
      <c r="A152" s="9" t="s">
        <v>564</v>
      </c>
      <c r="B152" s="10" t="s">
        <v>575</v>
      </c>
      <c r="C152" s="10" t="s">
        <v>582</v>
      </c>
      <c r="D152" s="14">
        <v>15</v>
      </c>
      <c r="E152" s="17" t="b">
        <v>1</v>
      </c>
      <c r="F152" s="20"/>
      <c r="G152" s="23">
        <f t="shared" si="6"/>
        <v>15</v>
      </c>
      <c r="H152" s="14">
        <f t="shared" si="7"/>
        <v>0</v>
      </c>
      <c r="I152" s="10" t="str">
        <f t="shared" si="8"/>
        <v>Done</v>
      </c>
      <c r="J152" s="39" t="s">
        <v>155</v>
      </c>
      <c r="K152" s="26" t="s">
        <v>583</v>
      </c>
    </row>
    <row r="153" spans="1:11">
      <c r="A153" s="9" t="s">
        <v>564</v>
      </c>
      <c r="B153" s="10" t="s">
        <v>584</v>
      </c>
      <c r="C153" s="10" t="s">
        <v>585</v>
      </c>
      <c r="D153" s="14">
        <v>25</v>
      </c>
      <c r="E153" s="17" t="b">
        <v>1</v>
      </c>
      <c r="F153" s="20"/>
      <c r="G153" s="23">
        <f t="shared" si="6"/>
        <v>25</v>
      </c>
      <c r="H153" s="14">
        <f t="shared" si="7"/>
        <v>0</v>
      </c>
      <c r="I153" s="10" t="str">
        <f t="shared" si="8"/>
        <v>Done</v>
      </c>
      <c r="J153" s="39" t="s">
        <v>155</v>
      </c>
      <c r="K153" s="26" t="s">
        <v>586</v>
      </c>
    </row>
    <row r="154" spans="1:11">
      <c r="A154" s="9" t="s">
        <v>564</v>
      </c>
      <c r="B154" s="10" t="s">
        <v>584</v>
      </c>
      <c r="C154" s="10" t="s">
        <v>587</v>
      </c>
      <c r="D154" s="14">
        <v>15</v>
      </c>
      <c r="E154" s="17" t="b">
        <v>1</v>
      </c>
      <c r="F154" s="20"/>
      <c r="G154" s="23">
        <f t="shared" si="6"/>
        <v>15</v>
      </c>
      <c r="H154" s="14">
        <f t="shared" si="7"/>
        <v>0</v>
      </c>
      <c r="I154" s="10" t="str">
        <f t="shared" si="8"/>
        <v>Done</v>
      </c>
      <c r="J154" s="39" t="s">
        <v>155</v>
      </c>
      <c r="K154" s="26" t="s">
        <v>588</v>
      </c>
    </row>
    <row r="155" spans="1:11">
      <c r="A155" s="9" t="s">
        <v>589</v>
      </c>
      <c r="B155" s="10" t="s">
        <v>590</v>
      </c>
      <c r="C155" s="10" t="s">
        <v>590</v>
      </c>
      <c r="D155" s="14">
        <v>15</v>
      </c>
      <c r="E155" s="17" t="b">
        <v>0</v>
      </c>
      <c r="F155" s="20"/>
      <c r="G155" s="23">
        <f t="shared" si="6"/>
        <v>0</v>
      </c>
      <c r="H155" s="14">
        <f t="shared" si="7"/>
        <v>15</v>
      </c>
      <c r="I155" s="10" t="str">
        <f t="shared" si="8"/>
        <v>Do: جلوه انفجار</v>
      </c>
      <c r="J155" s="39" t="s">
        <v>394</v>
      </c>
      <c r="K155" s="26" t="s">
        <v>591</v>
      </c>
    </row>
    <row r="156" spans="1:11">
      <c r="A156" s="9" t="s">
        <v>589</v>
      </c>
      <c r="B156" s="10" t="s">
        <v>592</v>
      </c>
      <c r="C156" s="10" t="s">
        <v>592</v>
      </c>
      <c r="D156" s="14">
        <v>25</v>
      </c>
      <c r="E156" s="17" t="b">
        <v>0</v>
      </c>
      <c r="F156" s="20"/>
      <c r="G156" s="23">
        <f t="shared" si="6"/>
        <v>0</v>
      </c>
      <c r="H156" s="14">
        <f t="shared" si="7"/>
        <v>25</v>
      </c>
      <c r="I156" s="10" t="str">
        <f t="shared" si="8"/>
        <v>Do: لرزیدن صفحه</v>
      </c>
      <c r="J156" s="39" t="s">
        <v>394</v>
      </c>
      <c r="K156" s="26" t="s">
        <v>593</v>
      </c>
    </row>
    <row r="157" spans="1:11">
      <c r="A157" s="9" t="s">
        <v>589</v>
      </c>
      <c r="B157" s="10" t="s">
        <v>594</v>
      </c>
      <c r="C157" s="10" t="s">
        <v>594</v>
      </c>
      <c r="D157" s="14">
        <v>100</v>
      </c>
      <c r="E157" s="17" t="b">
        <v>0</v>
      </c>
      <c r="F157" s="20"/>
      <c r="G157" s="23">
        <f t="shared" si="6"/>
        <v>0</v>
      </c>
      <c r="H157" s="14">
        <f t="shared" si="7"/>
        <v>100</v>
      </c>
      <c r="I157" s="10" t="str">
        <f t="shared" si="8"/>
        <v>Do: زمان‌بندی مناسب</v>
      </c>
      <c r="J157" s="39" t="s">
        <v>394</v>
      </c>
      <c r="K157" s="26" t="s">
        <v>595</v>
      </c>
    </row>
    <row r="158" spans="1:11">
      <c r="A158" s="9" t="s">
        <v>589</v>
      </c>
      <c r="B158" s="10" t="s">
        <v>596</v>
      </c>
      <c r="C158" s="10" t="s">
        <v>596</v>
      </c>
      <c r="D158" s="14">
        <v>40</v>
      </c>
      <c r="E158" s="17" t="b">
        <v>0</v>
      </c>
      <c r="F158" s="20"/>
      <c r="G158" s="23">
        <f t="shared" si="6"/>
        <v>0</v>
      </c>
      <c r="H158" s="14">
        <f t="shared" si="7"/>
        <v>40</v>
      </c>
      <c r="I158" s="10" t="str">
        <f t="shared" si="8"/>
        <v>Do: تغییر شکل زره</v>
      </c>
      <c r="J158" s="39" t="s">
        <v>394</v>
      </c>
      <c r="K158" s="26" t="s">
        <v>597</v>
      </c>
    </row>
    <row r="159" spans="1:11">
      <c r="A159" s="9" t="s">
        <v>589</v>
      </c>
      <c r="B159" s="10" t="s">
        <v>598</v>
      </c>
      <c r="C159" s="10" t="s">
        <v>599</v>
      </c>
      <c r="D159" s="14">
        <v>100</v>
      </c>
      <c r="E159" s="17" t="b">
        <v>0</v>
      </c>
      <c r="F159" s="20"/>
      <c r="G159" s="23">
        <f t="shared" si="6"/>
        <v>0</v>
      </c>
      <c r="H159" s="14">
        <f t="shared" si="7"/>
        <v>100</v>
      </c>
      <c r="I159" s="10" t="str">
        <f t="shared" si="8"/>
        <v>Do: افتادن سر زامبی‌ها</v>
      </c>
      <c r="J159" s="39" t="s">
        <v>394</v>
      </c>
      <c r="K159" s="26" t="s">
        <v>600</v>
      </c>
    </row>
    <row r="160" spans="1:11">
      <c r="A160" s="9" t="s">
        <v>589</v>
      </c>
      <c r="B160" s="10" t="s">
        <v>598</v>
      </c>
      <c r="C160" s="10" t="s">
        <v>601</v>
      </c>
      <c r="D160" s="14">
        <v>75</v>
      </c>
      <c r="E160" s="17" t="b">
        <v>0</v>
      </c>
      <c r="F160" s="20"/>
      <c r="G160" s="23">
        <f t="shared" si="6"/>
        <v>0</v>
      </c>
      <c r="H160" s="14">
        <f t="shared" si="7"/>
        <v>75</v>
      </c>
      <c r="I160" s="10" t="str">
        <f t="shared" si="8"/>
        <v>Do: افتادن دست زامبی‌ها</v>
      </c>
      <c r="J160" s="39" t="s">
        <v>394</v>
      </c>
      <c r="K160" s="26" t="s">
        <v>602</v>
      </c>
    </row>
    <row r="161" spans="1:11">
      <c r="A161" s="9" t="s">
        <v>589</v>
      </c>
      <c r="B161" s="10" t="s">
        <v>598</v>
      </c>
      <c r="C161" s="10" t="s">
        <v>603</v>
      </c>
      <c r="D161" s="14">
        <v>125</v>
      </c>
      <c r="E161" s="17" t="b">
        <v>0</v>
      </c>
      <c r="F161" s="20"/>
      <c r="G161" s="23">
        <f t="shared" si="6"/>
        <v>0</v>
      </c>
      <c r="H161" s="14">
        <f t="shared" si="7"/>
        <v>125</v>
      </c>
      <c r="I161" s="10" t="str">
        <f t="shared" si="8"/>
        <v>Do: افتادن زره زامبی‌ها</v>
      </c>
      <c r="J161" s="39" t="s">
        <v>394</v>
      </c>
      <c r="K161" s="26" t="s">
        <v>604</v>
      </c>
    </row>
    <row r="162" spans="1:11">
      <c r="A162" s="9" t="s">
        <v>589</v>
      </c>
      <c r="B162" s="10" t="s">
        <v>605</v>
      </c>
      <c r="C162" s="10" t="s">
        <v>605</v>
      </c>
      <c r="D162" s="14">
        <v>20</v>
      </c>
      <c r="E162" s="17" t="b">
        <v>0</v>
      </c>
      <c r="F162" s="20"/>
      <c r="G162" s="23">
        <f t="shared" si="6"/>
        <v>0</v>
      </c>
      <c r="H162" s="14">
        <f t="shared" si="7"/>
        <v>20</v>
      </c>
      <c r="I162" s="10" t="str">
        <f t="shared" si="8"/>
        <v>Do: جلوه برخورد پرتابه‌ها</v>
      </c>
      <c r="J162" s="39" t="s">
        <v>394</v>
      </c>
      <c r="K162" s="26" t="s">
        <v>606</v>
      </c>
    </row>
    <row r="163" spans="1:11">
      <c r="A163" s="9" t="s">
        <v>589</v>
      </c>
      <c r="B163" s="10" t="s">
        <v>607</v>
      </c>
      <c r="C163" s="10" t="s">
        <v>283</v>
      </c>
      <c r="D163" s="14">
        <v>15</v>
      </c>
      <c r="E163" s="17" t="b">
        <v>1</v>
      </c>
      <c r="F163" s="20"/>
      <c r="G163" s="23">
        <f t="shared" si="6"/>
        <v>15</v>
      </c>
      <c r="H163" s="14">
        <f t="shared" si="7"/>
        <v>0</v>
      </c>
      <c r="I163" s="10" t="str">
        <f t="shared" si="8"/>
        <v>Done</v>
      </c>
      <c r="J163" s="39" t="s">
        <v>394</v>
      </c>
      <c r="K163" s="26" t="s">
        <v>608</v>
      </c>
    </row>
    <row r="164" spans="1:11">
      <c r="A164" s="9" t="s">
        <v>589</v>
      </c>
      <c r="B164" s="10" t="s">
        <v>607</v>
      </c>
      <c r="C164" s="10" t="s">
        <v>609</v>
      </c>
      <c r="D164" s="14">
        <v>15</v>
      </c>
      <c r="E164" s="17" t="b">
        <v>1</v>
      </c>
      <c r="F164" s="20"/>
      <c r="G164" s="23">
        <f t="shared" si="6"/>
        <v>15</v>
      </c>
      <c r="H164" s="14">
        <f t="shared" si="7"/>
        <v>0</v>
      </c>
      <c r="I164" s="10" t="str">
        <f t="shared" si="8"/>
        <v>Done</v>
      </c>
      <c r="J164" s="39" t="s">
        <v>394</v>
      </c>
      <c r="K164" s="26" t="s">
        <v>610</v>
      </c>
    </row>
    <row r="165" spans="1:11">
      <c r="A165" s="9" t="s">
        <v>589</v>
      </c>
      <c r="B165" s="10" t="s">
        <v>607</v>
      </c>
      <c r="C165" s="10" t="s">
        <v>611</v>
      </c>
      <c r="D165" s="14">
        <v>15</v>
      </c>
      <c r="E165" s="17" t="b">
        <v>1</v>
      </c>
      <c r="F165" s="20"/>
      <c r="G165" s="23">
        <f t="shared" si="6"/>
        <v>15</v>
      </c>
      <c r="H165" s="14">
        <f t="shared" si="7"/>
        <v>0</v>
      </c>
      <c r="I165" s="10" t="str">
        <f t="shared" si="8"/>
        <v>Done</v>
      </c>
      <c r="J165" s="39" t="s">
        <v>394</v>
      </c>
      <c r="K165" s="26" t="s">
        <v>612</v>
      </c>
    </row>
    <row r="166" spans="1:11">
      <c r="A166" s="9" t="s">
        <v>589</v>
      </c>
      <c r="B166" s="10" t="s">
        <v>607</v>
      </c>
      <c r="C166" s="10" t="s">
        <v>613</v>
      </c>
      <c r="D166" s="14">
        <v>15</v>
      </c>
      <c r="E166" s="17" t="b">
        <v>0</v>
      </c>
      <c r="F166" s="20"/>
      <c r="G166" s="23">
        <f t="shared" si="6"/>
        <v>0</v>
      </c>
      <c r="H166" s="14">
        <f t="shared" si="7"/>
        <v>15</v>
      </c>
      <c r="I166" s="10" t="str">
        <f t="shared" si="8"/>
        <v>Do: گیاهان/زامبی‌های یخ زده</v>
      </c>
      <c r="J166" s="39" t="s">
        <v>394</v>
      </c>
      <c r="K166" s="26" t="s">
        <v>614</v>
      </c>
    </row>
    <row r="167" spans="1:11">
      <c r="A167" s="9" t="s">
        <v>589</v>
      </c>
      <c r="B167" s="10" t="s">
        <v>607</v>
      </c>
      <c r="C167" s="10" t="s">
        <v>615</v>
      </c>
      <c r="D167" s="14">
        <v>15</v>
      </c>
      <c r="E167" s="17" t="b">
        <v>0</v>
      </c>
      <c r="F167" s="20"/>
      <c r="G167" s="23">
        <f t="shared" si="6"/>
        <v>0</v>
      </c>
      <c r="H167" s="14">
        <f t="shared" si="7"/>
        <v>15</v>
      </c>
      <c r="I167" s="10" t="str">
        <f t="shared" si="8"/>
        <v>Do: اختاپوس‌ها</v>
      </c>
      <c r="J167" s="39" t="s">
        <v>394</v>
      </c>
      <c r="K167" s="26" t="s">
        <v>616</v>
      </c>
    </row>
    <row r="168" spans="1:11">
      <c r="A168" s="9" t="s">
        <v>589</v>
      </c>
      <c r="B168" s="10" t="s">
        <v>617</v>
      </c>
      <c r="C168" s="10" t="s">
        <v>617</v>
      </c>
      <c r="D168" s="14">
        <v>30</v>
      </c>
      <c r="E168" s="17" t="b">
        <v>1</v>
      </c>
      <c r="F168" s="20"/>
      <c r="G168" s="23">
        <f t="shared" si="6"/>
        <v>30</v>
      </c>
      <c r="H168" s="14">
        <f t="shared" si="7"/>
        <v>0</v>
      </c>
      <c r="I168" s="10" t="str">
        <f t="shared" si="8"/>
        <v>Done</v>
      </c>
      <c r="J168" s="39" t="s">
        <v>394</v>
      </c>
      <c r="K168" s="26" t="s">
        <v>618</v>
      </c>
    </row>
    <row r="169" spans="1:11">
      <c r="A169" s="9" t="s">
        <v>589</v>
      </c>
      <c r="B169" s="10" t="s">
        <v>619</v>
      </c>
      <c r="C169" s="10" t="s">
        <v>620</v>
      </c>
      <c r="D169" s="14">
        <v>15</v>
      </c>
      <c r="E169" s="17" t="b">
        <v>1</v>
      </c>
      <c r="F169" s="20"/>
      <c r="G169" s="23">
        <f t="shared" si="6"/>
        <v>15</v>
      </c>
      <c r="H169" s="14">
        <f t="shared" si="7"/>
        <v>0</v>
      </c>
      <c r="I169" s="10" t="str">
        <f t="shared" si="8"/>
        <v>Done</v>
      </c>
      <c r="J169" s="39" t="s">
        <v>394</v>
      </c>
      <c r="K169" s="26" t="s">
        <v>621</v>
      </c>
    </row>
    <row r="170" spans="1:11">
      <c r="A170" s="9" t="s">
        <v>589</v>
      </c>
      <c r="B170" s="10" t="s">
        <v>619</v>
      </c>
      <c r="C170" s="10" t="s">
        <v>622</v>
      </c>
      <c r="D170" s="14">
        <v>35</v>
      </c>
      <c r="E170" s="17" t="b">
        <v>1</v>
      </c>
      <c r="F170" s="20"/>
      <c r="G170" s="23">
        <f t="shared" si="6"/>
        <v>35</v>
      </c>
      <c r="H170" s="14">
        <f t="shared" si="7"/>
        <v>0</v>
      </c>
      <c r="I170" s="10" t="str">
        <f t="shared" si="8"/>
        <v>Done</v>
      </c>
      <c r="J170" s="39" t="s">
        <v>394</v>
      </c>
      <c r="K170" s="26" t="s">
        <v>623</v>
      </c>
    </row>
    <row r="171" spans="1:11">
      <c r="A171" s="9" t="s">
        <v>589</v>
      </c>
      <c r="B171" s="10" t="s">
        <v>624</v>
      </c>
      <c r="C171" s="10" t="s">
        <v>624</v>
      </c>
      <c r="D171" s="14">
        <v>25</v>
      </c>
      <c r="E171" s="17" t="b">
        <v>0</v>
      </c>
      <c r="F171" s="20"/>
      <c r="G171" s="23">
        <f t="shared" si="6"/>
        <v>0</v>
      </c>
      <c r="H171" s="14">
        <f t="shared" si="7"/>
        <v>25</v>
      </c>
      <c r="I171" s="10" t="str">
        <f t="shared" si="8"/>
        <v>Do: جلوه غذای گیاه</v>
      </c>
      <c r="J171" s="39" t="s">
        <v>394</v>
      </c>
      <c r="K171" s="26" t="s">
        <v>625</v>
      </c>
    </row>
    <row r="172" spans="1:11">
      <c r="A172" s="9" t="s">
        <v>589</v>
      </c>
      <c r="B172" s="10" t="s">
        <v>626</v>
      </c>
      <c r="C172" s="10" t="s">
        <v>627</v>
      </c>
      <c r="D172" s="14">
        <v>40</v>
      </c>
      <c r="E172" s="17" t="b">
        <v>1</v>
      </c>
      <c r="F172" s="20"/>
      <c r="G172" s="23">
        <f t="shared" si="6"/>
        <v>40</v>
      </c>
      <c r="H172" s="14">
        <f t="shared" si="7"/>
        <v>0</v>
      </c>
      <c r="I172" s="10" t="str">
        <f t="shared" si="8"/>
        <v>Done</v>
      </c>
      <c r="J172" s="39" t="s">
        <v>394</v>
      </c>
      <c r="K172" s="26" t="s">
        <v>628</v>
      </c>
    </row>
    <row r="173" spans="1:11">
      <c r="A173" s="9" t="s">
        <v>589</v>
      </c>
      <c r="B173" s="10" t="s">
        <v>626</v>
      </c>
      <c r="C173" s="10" t="s">
        <v>629</v>
      </c>
      <c r="D173" s="14">
        <v>40</v>
      </c>
      <c r="E173" s="17" t="b">
        <v>1</v>
      </c>
      <c r="F173" s="20"/>
      <c r="G173" s="23">
        <f t="shared" si="6"/>
        <v>40</v>
      </c>
      <c r="H173" s="14">
        <f t="shared" si="7"/>
        <v>0</v>
      </c>
      <c r="I173" s="10" t="str">
        <f t="shared" si="8"/>
        <v>Done</v>
      </c>
      <c r="J173" s="39" t="s">
        <v>394</v>
      </c>
      <c r="K173" s="26" t="s">
        <v>630</v>
      </c>
    </row>
    <row r="174" spans="1:11">
      <c r="A174" s="9" t="s">
        <v>589</v>
      </c>
      <c r="B174" s="10" t="s">
        <v>626</v>
      </c>
      <c r="C174" s="10" t="s">
        <v>631</v>
      </c>
      <c r="D174" s="14">
        <v>25</v>
      </c>
      <c r="E174" s="17" t="b">
        <v>0</v>
      </c>
      <c r="F174" s="20"/>
      <c r="G174" s="23">
        <f t="shared" si="6"/>
        <v>0</v>
      </c>
      <c r="H174" s="14">
        <f t="shared" si="7"/>
        <v>25</v>
      </c>
      <c r="I174" s="10" t="str">
        <f t="shared" si="8"/>
        <v>Do: پس زمینه نوار</v>
      </c>
      <c r="J174" s="39" t="s">
        <v>394</v>
      </c>
      <c r="K174" s="26" t="s">
        <v>632</v>
      </c>
    </row>
    <row r="175" spans="1:11">
      <c r="A175" s="9" t="s">
        <v>589</v>
      </c>
      <c r="B175" s="10" t="s">
        <v>633</v>
      </c>
      <c r="C175" s="10" t="s">
        <v>633</v>
      </c>
      <c r="D175" s="14">
        <v>15</v>
      </c>
      <c r="E175" s="17" t="b">
        <v>0</v>
      </c>
      <c r="F175" s="20"/>
      <c r="G175" s="23">
        <f t="shared" si="6"/>
        <v>0</v>
      </c>
      <c r="H175" s="14">
        <f t="shared" si="7"/>
        <v>15</v>
      </c>
      <c r="I175" s="10" t="str">
        <f t="shared" si="8"/>
        <v>Do: زامبی‌های نزدیک خط پایان</v>
      </c>
      <c r="J175" s="39" t="s">
        <v>394</v>
      </c>
      <c r="K175" s="26" t="s">
        <v>634</v>
      </c>
    </row>
    <row r="176" spans="1:11">
      <c r="A176" s="9" t="s">
        <v>589</v>
      </c>
      <c r="B176" s="10" t="s">
        <v>635</v>
      </c>
      <c r="C176" s="10" t="s">
        <v>635</v>
      </c>
      <c r="D176" s="14">
        <v>30</v>
      </c>
      <c r="E176" s="17" t="b">
        <v>0</v>
      </c>
      <c r="F176" s="20"/>
      <c r="G176" s="23">
        <f t="shared" si="6"/>
        <v>0</v>
      </c>
      <c r="H176" s="14">
        <f t="shared" si="7"/>
        <v>30</v>
      </c>
      <c r="I176" s="10" t="str">
        <f t="shared" si="8"/>
        <v>Do: پودر شدن زامبی‌ها</v>
      </c>
      <c r="J176" s="39" t="s">
        <v>394</v>
      </c>
      <c r="K176" s="26" t="s">
        <v>636</v>
      </c>
    </row>
    <row r="177" spans="1:11">
      <c r="A177" s="9" t="s">
        <v>589</v>
      </c>
      <c r="B177" s="10" t="s">
        <v>637</v>
      </c>
      <c r="C177" s="10" t="s">
        <v>637</v>
      </c>
      <c r="D177" s="14">
        <v>25</v>
      </c>
      <c r="E177" s="17" t="b">
        <v>0</v>
      </c>
      <c r="F177" s="20"/>
      <c r="G177" s="23">
        <f t="shared" si="6"/>
        <v>0</v>
      </c>
      <c r="H177" s="14">
        <f t="shared" si="7"/>
        <v>25</v>
      </c>
      <c r="I177" s="10" t="str">
        <f t="shared" si="8"/>
        <v>Do: جمع آوری دستی غذای گیاه</v>
      </c>
      <c r="J177" s="39" t="s">
        <v>394</v>
      </c>
      <c r="K177" s="26" t="s">
        <v>638</v>
      </c>
    </row>
    <row r="178" spans="1:11">
      <c r="A178" s="9" t="s">
        <v>589</v>
      </c>
      <c r="B178" s="10" t="s">
        <v>639</v>
      </c>
      <c r="C178" s="10" t="s">
        <v>639</v>
      </c>
      <c r="D178" s="14">
        <v>100</v>
      </c>
      <c r="E178" s="17" t="b">
        <v>0</v>
      </c>
      <c r="F178" s="20"/>
      <c r="G178" s="23">
        <f t="shared" si="6"/>
        <v>0</v>
      </c>
      <c r="H178" s="14">
        <f t="shared" si="7"/>
        <v>100</v>
      </c>
      <c r="I178" s="10" t="str">
        <f t="shared" si="8"/>
        <v>Do: جلوه‌های رابط‌کاربری</v>
      </c>
      <c r="J178" s="39" t="s">
        <v>394</v>
      </c>
      <c r="K178" s="26" t="s">
        <v>640</v>
      </c>
    </row>
    <row r="179" spans="1:11">
      <c r="A179" s="9" t="s">
        <v>589</v>
      </c>
      <c r="B179" s="10" t="s">
        <v>641</v>
      </c>
      <c r="C179" s="10" t="s">
        <v>641</v>
      </c>
      <c r="D179" s="14">
        <v>75</v>
      </c>
      <c r="E179" s="17" t="b">
        <v>0</v>
      </c>
      <c r="F179" s="20"/>
      <c r="G179" s="23">
        <f t="shared" si="6"/>
        <v>0</v>
      </c>
      <c r="H179" s="14">
        <f t="shared" si="7"/>
        <v>75</v>
      </c>
      <c r="I179" s="10" t="str">
        <f t="shared" si="8"/>
        <v>Do: پرتاب شدن Imp</v>
      </c>
      <c r="J179" s="39" t="s">
        <v>394</v>
      </c>
      <c r="K179" s="26" t="s">
        <v>642</v>
      </c>
    </row>
    <row r="180" spans="1:11">
      <c r="A180" s="9" t="s">
        <v>589</v>
      </c>
      <c r="B180" s="10" t="s">
        <v>643</v>
      </c>
      <c r="C180" s="10" t="s">
        <v>643</v>
      </c>
      <c r="D180" s="14">
        <v>20</v>
      </c>
      <c r="E180" s="17" t="b">
        <v>0</v>
      </c>
      <c r="F180" s="20"/>
      <c r="G180" s="23">
        <f t="shared" si="6"/>
        <v>0</v>
      </c>
      <c r="H180" s="14">
        <f t="shared" si="7"/>
        <v>20</v>
      </c>
      <c r="I180" s="10" t="str">
        <f t="shared" si="8"/>
        <v>Do: ترتیب درست نمایش</v>
      </c>
      <c r="J180" s="39" t="s">
        <v>394</v>
      </c>
      <c r="K180" s="26" t="s">
        <v>644</v>
      </c>
    </row>
    <row r="181" spans="1:11">
      <c r="A181" s="9" t="s">
        <v>589</v>
      </c>
      <c r="B181" s="10" t="s">
        <v>645</v>
      </c>
      <c r="C181" s="10" t="s">
        <v>645</v>
      </c>
      <c r="D181" s="14">
        <v>50</v>
      </c>
      <c r="E181" s="17" t="b">
        <v>0</v>
      </c>
      <c r="F181" s="20"/>
      <c r="G181" s="23">
        <f t="shared" si="6"/>
        <v>0</v>
      </c>
      <c r="H181" s="14">
        <f t="shared" si="7"/>
        <v>50</v>
      </c>
      <c r="I181" s="10" t="str">
        <f t="shared" si="8"/>
        <v>Do: موقعیت درست پرتابه‌ها</v>
      </c>
      <c r="J181" s="39" t="s">
        <v>394</v>
      </c>
      <c r="K181" s="26" t="s">
        <v>646</v>
      </c>
    </row>
    <row r="182" spans="1:11">
      <c r="A182" s="9" t="s">
        <v>589</v>
      </c>
      <c r="B182" s="10" t="s">
        <v>647</v>
      </c>
      <c r="C182" s="10" t="s">
        <v>648</v>
      </c>
      <c r="D182" s="14">
        <v>15</v>
      </c>
      <c r="E182" s="17" t="b">
        <v>0</v>
      </c>
      <c r="F182" s="20"/>
      <c r="G182" s="23">
        <f t="shared" si="6"/>
        <v>0</v>
      </c>
      <c r="H182" s="14">
        <f t="shared" si="7"/>
        <v>15</v>
      </c>
      <c r="I182" s="10" t="str">
        <f t="shared" si="8"/>
        <v>Do: موسیقی مراحل</v>
      </c>
      <c r="J182" s="39" t="s">
        <v>394</v>
      </c>
      <c r="K182" s="26" t="s">
        <v>649</v>
      </c>
    </row>
    <row r="183" spans="1:11">
      <c r="A183" s="9" t="s">
        <v>589</v>
      </c>
      <c r="B183" s="10" t="s">
        <v>647</v>
      </c>
      <c r="C183" s="10" t="s">
        <v>650</v>
      </c>
      <c r="D183" s="14">
        <v>15</v>
      </c>
      <c r="E183" s="17" t="b">
        <v>0</v>
      </c>
      <c r="F183" s="20"/>
      <c r="G183" s="23">
        <f t="shared" si="6"/>
        <v>0</v>
      </c>
      <c r="H183" s="14">
        <f t="shared" si="7"/>
        <v>15</v>
      </c>
      <c r="I183" s="10" t="str">
        <f t="shared" si="8"/>
        <v>Do: موسیقی منوها</v>
      </c>
      <c r="J183" s="39" t="s">
        <v>394</v>
      </c>
      <c r="K183" s="26" t="s">
        <v>651</v>
      </c>
    </row>
    <row r="184" spans="1:11">
      <c r="A184" s="9" t="s">
        <v>589</v>
      </c>
      <c r="B184" s="10" t="s">
        <v>647</v>
      </c>
      <c r="C184" s="10" t="s">
        <v>652</v>
      </c>
      <c r="D184" s="14">
        <v>35</v>
      </c>
      <c r="E184" s="17" t="b">
        <v>0</v>
      </c>
      <c r="F184" s="20"/>
      <c r="G184" s="23">
        <f t="shared" si="6"/>
        <v>0</v>
      </c>
      <c r="H184" s="14">
        <f t="shared" si="7"/>
        <v>35</v>
      </c>
      <c r="I184" s="10" t="str">
        <f t="shared" si="8"/>
        <v>Do: جلوه‌های صوتی</v>
      </c>
      <c r="J184" s="39" t="s">
        <v>394</v>
      </c>
      <c r="K184" s="26" t="s">
        <v>653</v>
      </c>
    </row>
    <row r="185" spans="1:11">
      <c r="A185" s="9" t="s">
        <v>589</v>
      </c>
      <c r="B185" s="10" t="s">
        <v>647</v>
      </c>
      <c r="C185" s="10" t="s">
        <v>654</v>
      </c>
      <c r="D185" s="14">
        <v>10</v>
      </c>
      <c r="E185" s="17" t="b">
        <v>0</v>
      </c>
      <c r="F185" s="20"/>
      <c r="G185" s="23">
        <f t="shared" si="6"/>
        <v>0</v>
      </c>
      <c r="H185" s="14">
        <f t="shared" si="7"/>
        <v>10</v>
      </c>
      <c r="I185" s="10" t="str">
        <f t="shared" si="8"/>
        <v>Do: تنظیمات</v>
      </c>
      <c r="J185" s="39" t="s">
        <v>394</v>
      </c>
      <c r="K185" s="26" t="s">
        <v>655</v>
      </c>
    </row>
    <row r="186" spans="1:11">
      <c r="A186" s="9" t="s">
        <v>589</v>
      </c>
      <c r="B186" s="10" t="s">
        <v>656</v>
      </c>
      <c r="C186" s="10" t="s">
        <v>657</v>
      </c>
      <c r="D186" s="14">
        <v>125</v>
      </c>
      <c r="E186" s="17" t="b">
        <v>1</v>
      </c>
      <c r="F186" s="20"/>
      <c r="G186" s="23">
        <f t="shared" si="6"/>
        <v>125</v>
      </c>
      <c r="H186" s="14">
        <f t="shared" si="7"/>
        <v>0</v>
      </c>
      <c r="I186" s="10" t="str">
        <f t="shared" si="8"/>
        <v>Done</v>
      </c>
      <c r="J186" s="39" t="s">
        <v>394</v>
      </c>
      <c r="K186" s="26" t="s">
        <v>658</v>
      </c>
    </row>
    <row r="187" spans="1:11">
      <c r="A187" s="9" t="s">
        <v>589</v>
      </c>
      <c r="B187" s="10" t="s">
        <v>656</v>
      </c>
      <c r="C187" s="10" t="s">
        <v>218</v>
      </c>
      <c r="D187" s="14">
        <v>35</v>
      </c>
      <c r="E187" s="17" t="b">
        <v>1</v>
      </c>
      <c r="F187" s="20"/>
      <c r="G187" s="23">
        <f t="shared" si="6"/>
        <v>35</v>
      </c>
      <c r="H187" s="14">
        <f t="shared" si="7"/>
        <v>0</v>
      </c>
      <c r="I187" s="10" t="str">
        <f t="shared" si="8"/>
        <v>Done</v>
      </c>
      <c r="J187" s="39" t="s">
        <v>394</v>
      </c>
      <c r="K187" s="26" t="s">
        <v>659</v>
      </c>
    </row>
    <row r="188" spans="1:11">
      <c r="A188" s="9" t="s">
        <v>589</v>
      </c>
      <c r="B188" s="10" t="s">
        <v>656</v>
      </c>
      <c r="C188" s="10" t="s">
        <v>660</v>
      </c>
      <c r="D188" s="14">
        <v>30</v>
      </c>
      <c r="E188" s="17" t="b">
        <v>0</v>
      </c>
      <c r="F188" s="20"/>
      <c r="G188" s="23">
        <f t="shared" si="6"/>
        <v>0</v>
      </c>
      <c r="H188" s="14">
        <f t="shared" si="7"/>
        <v>30</v>
      </c>
      <c r="I188" s="10" t="str">
        <f t="shared" si="8"/>
        <v>Do: گیاهان مبارز</v>
      </c>
      <c r="J188" s="39" t="s">
        <v>394</v>
      </c>
      <c r="K188" s="26" t="s">
        <v>661</v>
      </c>
    </row>
    <row r="189" spans="1:11">
      <c r="A189" s="9" t="s">
        <v>589</v>
      </c>
      <c r="B189" s="10" t="s">
        <v>656</v>
      </c>
      <c r="C189" s="10" t="s">
        <v>662</v>
      </c>
      <c r="D189" s="14">
        <v>35</v>
      </c>
      <c r="E189" s="17" t="b">
        <v>0</v>
      </c>
      <c r="F189" s="20"/>
      <c r="G189" s="23">
        <f t="shared" si="6"/>
        <v>0</v>
      </c>
      <c r="H189" s="14">
        <f t="shared" si="7"/>
        <v>35</v>
      </c>
      <c r="I189" s="10" t="str">
        <f t="shared" si="8"/>
        <v>Do: گیاهان مدافع</v>
      </c>
      <c r="J189" s="39" t="s">
        <v>394</v>
      </c>
      <c r="K189" s="26" t="s">
        <v>663</v>
      </c>
    </row>
    <row r="190" spans="1:11">
      <c r="A190" s="9" t="s">
        <v>589</v>
      </c>
      <c r="B190" s="10" t="s">
        <v>656</v>
      </c>
      <c r="C190" s="10" t="s">
        <v>664</v>
      </c>
      <c r="D190" s="14">
        <v>50</v>
      </c>
      <c r="E190" s="17" t="b">
        <v>0</v>
      </c>
      <c r="F190" s="20"/>
      <c r="G190" s="23">
        <f t="shared" si="6"/>
        <v>0</v>
      </c>
      <c r="H190" s="14">
        <f t="shared" si="7"/>
        <v>50</v>
      </c>
      <c r="I190" s="10" t="str">
        <f t="shared" si="8"/>
        <v>Do: نعناها</v>
      </c>
      <c r="J190" s="39" t="s">
        <v>394</v>
      </c>
      <c r="K190" s="26" t="s">
        <v>665</v>
      </c>
    </row>
    <row r="191" spans="1:11">
      <c r="A191" s="9" t="s">
        <v>589</v>
      </c>
      <c r="B191" s="10" t="s">
        <v>656</v>
      </c>
      <c r="C191" s="10" t="s">
        <v>666</v>
      </c>
      <c r="D191" s="14">
        <v>30</v>
      </c>
      <c r="E191" s="17" t="b">
        <v>0</v>
      </c>
      <c r="F191" s="20"/>
      <c r="G191" s="23">
        <f t="shared" si="6"/>
        <v>0</v>
      </c>
      <c r="H191" s="14">
        <f t="shared" si="7"/>
        <v>30</v>
      </c>
      <c r="I191" s="10" t="str">
        <f t="shared" si="8"/>
        <v>Do: گیاهان Charge</v>
      </c>
      <c r="J191" s="39" t="s">
        <v>394</v>
      </c>
      <c r="K191" s="26" t="s">
        <v>667</v>
      </c>
    </row>
    <row r="192" spans="1:11">
      <c r="A192" s="9" t="s">
        <v>589</v>
      </c>
      <c r="B192" s="10" t="s">
        <v>656</v>
      </c>
      <c r="C192" s="10" t="s">
        <v>668</v>
      </c>
      <c r="D192" s="14">
        <v>25</v>
      </c>
      <c r="E192" s="17" t="b">
        <v>0</v>
      </c>
      <c r="F192" s="20"/>
      <c r="G192" s="23">
        <f t="shared" si="6"/>
        <v>0</v>
      </c>
      <c r="H192" s="14">
        <f t="shared" si="7"/>
        <v>25</v>
      </c>
      <c r="I192" s="10" t="str">
        <f t="shared" si="8"/>
        <v>Do: کدو</v>
      </c>
      <c r="J192" s="39" t="s">
        <v>394</v>
      </c>
      <c r="K192" s="26" t="s">
        <v>669</v>
      </c>
    </row>
    <row r="193" spans="1:11">
      <c r="A193" s="9" t="s">
        <v>589</v>
      </c>
      <c r="B193" s="10" t="s">
        <v>656</v>
      </c>
      <c r="C193" s="10" t="s">
        <v>267</v>
      </c>
      <c r="D193" s="14">
        <v>250</v>
      </c>
      <c r="E193" s="17" t="b">
        <v>0</v>
      </c>
      <c r="F193" s="20"/>
      <c r="G193" s="23">
        <f t="shared" si="6"/>
        <v>0</v>
      </c>
      <c r="H193" s="14">
        <f t="shared" si="7"/>
        <v>250</v>
      </c>
      <c r="I193" s="10" t="str">
        <f t="shared" si="8"/>
        <v>Do: غذای گیاه</v>
      </c>
      <c r="J193" s="39" t="s">
        <v>394</v>
      </c>
      <c r="K193" s="26" t="s">
        <v>670</v>
      </c>
    </row>
    <row r="194" spans="1:11">
      <c r="A194" s="9" t="s">
        <v>589</v>
      </c>
      <c r="B194" s="10" t="s">
        <v>671</v>
      </c>
      <c r="C194" s="10" t="s">
        <v>672</v>
      </c>
      <c r="D194" s="14">
        <v>60</v>
      </c>
      <c r="E194" s="17" t="b">
        <v>0</v>
      </c>
      <c r="F194" s="20"/>
      <c r="G194" s="23">
        <f t="shared" si="6"/>
        <v>0</v>
      </c>
      <c r="H194" s="14">
        <f t="shared" si="7"/>
        <v>60</v>
      </c>
      <c r="I194" s="10" t="str">
        <f t="shared" si="8"/>
        <v>Do: پرتاب Imp</v>
      </c>
      <c r="J194" s="39" t="s">
        <v>394</v>
      </c>
      <c r="K194" s="26" t="s">
        <v>673</v>
      </c>
    </row>
    <row r="195" spans="1:11">
      <c r="A195" s="9" t="s">
        <v>589</v>
      </c>
      <c r="B195" s="10" t="s">
        <v>671</v>
      </c>
      <c r="C195" s="10" t="s">
        <v>674</v>
      </c>
      <c r="D195" s="14">
        <v>15</v>
      </c>
      <c r="E195" s="17" t="b">
        <v>0</v>
      </c>
      <c r="F195" s="20"/>
      <c r="G195" s="23">
        <f t="shared" si="6"/>
        <v>0</v>
      </c>
      <c r="H195" s="14">
        <f t="shared" si="7"/>
        <v>15</v>
      </c>
      <c r="I195" s="10" t="str">
        <f t="shared" si="8"/>
        <v>Do: لگد زدن</v>
      </c>
      <c r="J195" s="39" t="s">
        <v>394</v>
      </c>
      <c r="K195" s="26" t="s">
        <v>675</v>
      </c>
    </row>
    <row r="196" spans="1:11">
      <c r="A196" s="9" t="s">
        <v>589</v>
      </c>
      <c r="B196" s="10" t="s">
        <v>671</v>
      </c>
      <c r="C196" s="10" t="s">
        <v>676</v>
      </c>
      <c r="D196" s="14">
        <v>25</v>
      </c>
      <c r="E196" s="17" t="b">
        <v>0</v>
      </c>
      <c r="F196" s="20"/>
      <c r="G196" s="23">
        <f t="shared" si="6"/>
        <v>0</v>
      </c>
      <c r="H196" s="14">
        <f t="shared" si="7"/>
        <v>25</v>
      </c>
      <c r="I196" s="10" t="str">
        <f t="shared" si="8"/>
        <v>Do: خورشیددزد</v>
      </c>
      <c r="J196" s="39" t="s">
        <v>394</v>
      </c>
      <c r="K196" s="26" t="s">
        <v>677</v>
      </c>
    </row>
    <row r="197" spans="1:11">
      <c r="A197" s="9" t="s">
        <v>589</v>
      </c>
      <c r="B197" s="10" t="s">
        <v>671</v>
      </c>
      <c r="C197" s="10" t="s">
        <v>678</v>
      </c>
      <c r="D197" s="14">
        <v>25</v>
      </c>
      <c r="E197" s="17" t="b">
        <v>0</v>
      </c>
      <c r="F197" s="20"/>
      <c r="G197" s="23">
        <f t="shared" si="6"/>
        <v>0</v>
      </c>
      <c r="H197" s="14">
        <f t="shared" si="7"/>
        <v>25</v>
      </c>
      <c r="I197" s="10" t="str">
        <f t="shared" si="8"/>
        <v>Do: قبرساز</v>
      </c>
      <c r="J197" s="39" t="s">
        <v>394</v>
      </c>
      <c r="K197" s="26" t="s">
        <v>679</v>
      </c>
    </row>
    <row r="198" spans="1:11">
      <c r="A198" s="9" t="s">
        <v>589</v>
      </c>
      <c r="B198" s="10" t="s">
        <v>671</v>
      </c>
      <c r="C198" s="10" t="s">
        <v>680</v>
      </c>
      <c r="D198" s="14">
        <v>25</v>
      </c>
      <c r="E198" s="17" t="b">
        <v>0</v>
      </c>
      <c r="F198" s="20"/>
      <c r="G198" s="23">
        <f t="shared" si="6"/>
        <v>0</v>
      </c>
      <c r="H198" s="14">
        <f t="shared" si="7"/>
        <v>25</v>
      </c>
      <c r="I198" s="10" t="str">
        <f t="shared" si="8"/>
        <v>Do: شکارچی</v>
      </c>
      <c r="J198" s="39" t="s">
        <v>394</v>
      </c>
      <c r="K198" s="26" t="s">
        <v>681</v>
      </c>
    </row>
    <row r="199" spans="1:11">
      <c r="A199" s="9" t="s">
        <v>589</v>
      </c>
      <c r="B199" s="10" t="s">
        <v>671</v>
      </c>
      <c r="C199" s="10" t="s">
        <v>682</v>
      </c>
      <c r="D199" s="14">
        <v>25</v>
      </c>
      <c r="E199" s="17" t="b">
        <v>0</v>
      </c>
      <c r="F199" s="20"/>
      <c r="G199" s="23">
        <f t="shared" si="6"/>
        <v>0</v>
      </c>
      <c r="H199" s="14">
        <f t="shared" si="7"/>
        <v>25</v>
      </c>
      <c r="I199" s="10" t="str">
        <f t="shared" si="8"/>
        <v>Do: غواص</v>
      </c>
      <c r="J199" s="39" t="s">
        <v>394</v>
      </c>
      <c r="K199" s="26" t="s">
        <v>683</v>
      </c>
    </row>
    <row r="200" spans="1:11">
      <c r="A200" s="9" t="s">
        <v>589</v>
      </c>
      <c r="B200" s="10" t="s">
        <v>671</v>
      </c>
      <c r="C200" s="10" t="s">
        <v>684</v>
      </c>
      <c r="D200" s="14">
        <v>25</v>
      </c>
      <c r="E200" s="17" t="b">
        <v>0</v>
      </c>
      <c r="F200" s="20"/>
      <c r="G200" s="23">
        <f t="shared" si="6"/>
        <v>0</v>
      </c>
      <c r="H200" s="14">
        <f t="shared" si="7"/>
        <v>25</v>
      </c>
      <c r="I200" s="10" t="str">
        <f t="shared" si="8"/>
        <v>Do: اختاپوس پرت کن</v>
      </c>
      <c r="J200" s="39" t="s">
        <v>394</v>
      </c>
      <c r="K200" s="26" t="s">
        <v>685</v>
      </c>
    </row>
    <row r="201" spans="1:11">
      <c r="A201" s="9" t="s">
        <v>589</v>
      </c>
      <c r="B201" s="10" t="s">
        <v>671</v>
      </c>
      <c r="C201" s="10" t="s">
        <v>234</v>
      </c>
      <c r="D201" s="14">
        <v>150</v>
      </c>
      <c r="E201" s="17" t="b">
        <v>0</v>
      </c>
      <c r="F201" s="20"/>
      <c r="G201" s="23">
        <f t="shared" si="6"/>
        <v>0</v>
      </c>
      <c r="H201" s="14">
        <f t="shared" si="7"/>
        <v>150</v>
      </c>
      <c r="I201" s="10" t="str">
        <f t="shared" si="8"/>
        <v>Do: خوردن گیاهان</v>
      </c>
      <c r="J201" s="39" t="s">
        <v>394</v>
      </c>
      <c r="K201" s="26" t="s">
        <v>686</v>
      </c>
    </row>
    <row r="202" spans="1:11">
      <c r="A202" s="9" t="s">
        <v>589</v>
      </c>
      <c r="B202" s="10" t="s">
        <v>671</v>
      </c>
      <c r="C202" s="10" t="s">
        <v>687</v>
      </c>
      <c r="D202" s="14">
        <v>60</v>
      </c>
      <c r="E202" s="17" t="b">
        <v>0</v>
      </c>
      <c r="F202" s="20"/>
      <c r="G202" s="23">
        <f t="shared" si="6"/>
        <v>0</v>
      </c>
      <c r="H202" s="14">
        <f t="shared" si="7"/>
        <v>60</v>
      </c>
      <c r="I202" s="10" t="str">
        <f t="shared" si="8"/>
        <v>Do: ضربه غول پیکر</v>
      </c>
      <c r="J202" s="39" t="s">
        <v>394</v>
      </c>
      <c r="K202" s="26" t="s">
        <v>688</v>
      </c>
    </row>
    <row r="203" spans="1:11">
      <c r="A203" s="9" t="s">
        <v>589</v>
      </c>
      <c r="B203" s="10" t="s">
        <v>671</v>
      </c>
      <c r="C203" s="10" t="s">
        <v>689</v>
      </c>
      <c r="D203" s="14">
        <v>175</v>
      </c>
      <c r="E203" s="17" t="b">
        <v>0</v>
      </c>
      <c r="F203" s="20"/>
      <c r="G203" s="23">
        <f t="shared" ref="G203:G244" si="9">IF(E203,D203,IF(F203="",0,MIN(MAX(F203,0),D203)))</f>
        <v>0</v>
      </c>
      <c r="H203" s="14">
        <f t="shared" ref="H203:H244" si="10">MAX(D203-G203,0)</f>
        <v>175</v>
      </c>
      <c r="I203" s="10" t="str">
        <f t="shared" ref="I203:I244" si="11">IF(D203=0,"No points attached",IF(G203=D203,"Done",IF(G203=0,"Do: "&amp;C203,"Finish: "&amp;C203&amp;" ("&amp;TEXT(H203,"0.##")&amp;" pts left)")))</f>
        <v>Do: مردن</v>
      </c>
      <c r="J203" s="39" t="s">
        <v>394</v>
      </c>
      <c r="K203" s="26" t="s">
        <v>690</v>
      </c>
    </row>
    <row r="204" spans="1:11">
      <c r="A204" s="9" t="s">
        <v>589</v>
      </c>
      <c r="B204" s="10" t="s">
        <v>691</v>
      </c>
      <c r="C204" s="10" t="s">
        <v>691</v>
      </c>
      <c r="D204" s="14">
        <v>35</v>
      </c>
      <c r="E204" s="17" t="b">
        <v>0</v>
      </c>
      <c r="F204" s="20"/>
      <c r="G204" s="23">
        <f t="shared" si="9"/>
        <v>0</v>
      </c>
      <c r="H204" s="14">
        <f t="shared" si="10"/>
        <v>35</v>
      </c>
      <c r="I204" s="10" t="str">
        <f t="shared" si="11"/>
        <v>Do: نمایش تعداد غذای گیاه</v>
      </c>
      <c r="J204" s="39" t="s">
        <v>394</v>
      </c>
      <c r="K204" s="26" t="s">
        <v>692</v>
      </c>
    </row>
    <row r="205" spans="1:11">
      <c r="A205" s="9" t="s">
        <v>589</v>
      </c>
      <c r="B205" s="10" t="s">
        <v>693</v>
      </c>
      <c r="C205" s="10" t="s">
        <v>693</v>
      </c>
      <c r="D205" s="14">
        <v>50</v>
      </c>
      <c r="E205" s="17" t="b">
        <v>0</v>
      </c>
      <c r="F205" s="20"/>
      <c r="G205" s="23">
        <f t="shared" si="9"/>
        <v>0</v>
      </c>
      <c r="H205" s="14">
        <f t="shared" si="10"/>
        <v>50</v>
      </c>
      <c r="I205" s="10" t="str">
        <f t="shared" si="11"/>
        <v>Do: جا به جایی درست زامبی</v>
      </c>
      <c r="J205" s="39" t="s">
        <v>394</v>
      </c>
      <c r="K205" s="26" t="s">
        <v>694</v>
      </c>
    </row>
    <row r="206" spans="1:11">
      <c r="A206" s="9" t="s">
        <v>695</v>
      </c>
      <c r="B206" s="10" t="s">
        <v>696</v>
      </c>
      <c r="C206" s="10" t="s">
        <v>291</v>
      </c>
      <c r="D206" s="14">
        <v>55</v>
      </c>
      <c r="E206" s="17" t="b">
        <v>0</v>
      </c>
      <c r="F206" s="20"/>
      <c r="G206" s="23">
        <f t="shared" si="9"/>
        <v>0</v>
      </c>
      <c r="H206" s="14">
        <f t="shared" si="10"/>
        <v>55</v>
      </c>
      <c r="I206" s="10" t="str">
        <f t="shared" si="11"/>
        <v>Do: گیاهان امتیازی</v>
      </c>
      <c r="J206" s="39" t="s">
        <v>156</v>
      </c>
      <c r="K206" s="26" t="s">
        <v>697</v>
      </c>
    </row>
    <row r="207" spans="1:11">
      <c r="A207" s="9" t="s">
        <v>695</v>
      </c>
      <c r="B207" s="10" t="s">
        <v>696</v>
      </c>
      <c r="C207" s="10" t="s">
        <v>277</v>
      </c>
      <c r="D207" s="14">
        <v>30</v>
      </c>
      <c r="E207" s="17" t="b">
        <v>0</v>
      </c>
      <c r="F207" s="20"/>
      <c r="G207" s="23">
        <f t="shared" si="9"/>
        <v>0</v>
      </c>
      <c r="H207" s="14">
        <f t="shared" si="10"/>
        <v>30</v>
      </c>
      <c r="I207" s="10" t="str">
        <f t="shared" si="11"/>
        <v>Do: زامبی‌های امتیازی</v>
      </c>
      <c r="J207" s="39" t="s">
        <v>156</v>
      </c>
      <c r="K207" s="26" t="s">
        <v>698</v>
      </c>
    </row>
    <row r="208" spans="1:11">
      <c r="A208" s="9" t="s">
        <v>695</v>
      </c>
      <c r="B208" s="10" t="s">
        <v>699</v>
      </c>
      <c r="C208" s="10" t="s">
        <v>700</v>
      </c>
      <c r="D208" s="14">
        <v>20</v>
      </c>
      <c r="E208" s="17" t="b">
        <v>0</v>
      </c>
      <c r="F208" s="20"/>
      <c r="G208" s="23">
        <f t="shared" si="9"/>
        <v>0</v>
      </c>
      <c r="H208" s="14">
        <f t="shared" si="10"/>
        <v>20</v>
      </c>
      <c r="I208" s="10" t="str">
        <f t="shared" si="11"/>
        <v>Do: جابه جایی با موس</v>
      </c>
      <c r="J208" s="39" t="s">
        <v>156</v>
      </c>
      <c r="K208" s="26" t="s">
        <v>701</v>
      </c>
    </row>
    <row r="209" spans="1:11">
      <c r="A209" s="9" t="s">
        <v>695</v>
      </c>
      <c r="B209" s="10" t="s">
        <v>699</v>
      </c>
      <c r="C209" s="10" t="s">
        <v>702</v>
      </c>
      <c r="D209" s="14">
        <v>30</v>
      </c>
      <c r="E209" s="17" t="b">
        <v>0</v>
      </c>
      <c r="F209" s="20"/>
      <c r="G209" s="23">
        <f t="shared" si="9"/>
        <v>0</v>
      </c>
      <c r="H209" s="14">
        <f t="shared" si="10"/>
        <v>30</v>
      </c>
      <c r="I209" s="10" t="str">
        <f t="shared" si="11"/>
        <v>Do: نرم بودن حرکات</v>
      </c>
      <c r="J209" s="39" t="s">
        <v>156</v>
      </c>
      <c r="K209" s="26" t="s">
        <v>703</v>
      </c>
    </row>
    <row r="210" spans="1:11">
      <c r="A210" s="9" t="s">
        <v>695</v>
      </c>
      <c r="B210" s="10" t="s">
        <v>699</v>
      </c>
      <c r="C210" s="10" t="s">
        <v>704</v>
      </c>
      <c r="D210" s="14">
        <v>5</v>
      </c>
      <c r="E210" s="17" t="b">
        <v>0</v>
      </c>
      <c r="F210" s="20"/>
      <c r="G210" s="23">
        <f t="shared" si="9"/>
        <v>0</v>
      </c>
      <c r="H210" s="14">
        <f t="shared" si="10"/>
        <v>5</v>
      </c>
      <c r="I210" s="10" t="str">
        <f t="shared" si="11"/>
        <v>Do: ترکیب‌های باقیمانده</v>
      </c>
      <c r="J210" s="39" t="s">
        <v>156</v>
      </c>
      <c r="K210" s="26" t="s">
        <v>705</v>
      </c>
    </row>
    <row r="211" spans="1:11">
      <c r="A211" s="9" t="s">
        <v>695</v>
      </c>
      <c r="B211" s="10" t="s">
        <v>699</v>
      </c>
      <c r="C211" s="10" t="s">
        <v>706</v>
      </c>
      <c r="D211" s="14">
        <v>20</v>
      </c>
      <c r="E211" s="17" t="b">
        <v>0</v>
      </c>
      <c r="F211" s="20"/>
      <c r="G211" s="23">
        <f t="shared" si="9"/>
        <v>0</v>
      </c>
      <c r="H211" s="14">
        <f t="shared" si="10"/>
        <v>20</v>
      </c>
      <c r="I211" s="10" t="str">
        <f t="shared" si="11"/>
        <v>Do: گزینه ارتقای گیاهان</v>
      </c>
      <c r="J211" s="39" t="s">
        <v>156</v>
      </c>
      <c r="K211" s="26" t="s">
        <v>707</v>
      </c>
    </row>
    <row r="212" spans="1:11">
      <c r="A212" s="9" t="s">
        <v>695</v>
      </c>
      <c r="B212" s="10" t="s">
        <v>708</v>
      </c>
      <c r="C212" s="10" t="s">
        <v>193</v>
      </c>
      <c r="D212" s="14">
        <v>25</v>
      </c>
      <c r="E212" s="17" t="b">
        <v>0</v>
      </c>
      <c r="F212" s="20"/>
      <c r="G212" s="23">
        <f t="shared" si="9"/>
        <v>0</v>
      </c>
      <c r="H212" s="14">
        <f t="shared" si="10"/>
        <v>25</v>
      </c>
      <c r="I212" s="10" t="str">
        <f t="shared" si="11"/>
        <v>Do: نمایش زامبی‌ها</v>
      </c>
      <c r="J212" s="39" t="s">
        <v>156</v>
      </c>
      <c r="K212" s="26" t="s">
        <v>709</v>
      </c>
    </row>
    <row r="213" spans="1:11">
      <c r="A213" s="9" t="s">
        <v>695</v>
      </c>
      <c r="B213" s="10" t="s">
        <v>710</v>
      </c>
      <c r="C213" s="10" t="s">
        <v>711</v>
      </c>
      <c r="D213" s="14">
        <v>80</v>
      </c>
      <c r="E213" s="17" t="b">
        <v>0</v>
      </c>
      <c r="F213" s="20"/>
      <c r="G213" s="23">
        <f t="shared" si="9"/>
        <v>0</v>
      </c>
      <c r="H213" s="14">
        <f t="shared" si="10"/>
        <v>80</v>
      </c>
      <c r="I213" s="10" t="str">
        <f t="shared" si="11"/>
        <v>Do: اعلان‌ها</v>
      </c>
      <c r="J213" s="39" t="s">
        <v>156</v>
      </c>
      <c r="K213" s="26" t="s">
        <v>712</v>
      </c>
    </row>
    <row r="214" spans="1:11">
      <c r="A214" s="9" t="s">
        <v>695</v>
      </c>
      <c r="B214" s="10" t="s">
        <v>713</v>
      </c>
      <c r="C214" s="10" t="s">
        <v>714</v>
      </c>
      <c r="D214" s="14">
        <v>5</v>
      </c>
      <c r="E214" s="17" t="b">
        <v>0</v>
      </c>
      <c r="F214" s="20"/>
      <c r="G214" s="23">
        <f t="shared" si="9"/>
        <v>0</v>
      </c>
      <c r="H214" s="14">
        <f t="shared" si="10"/>
        <v>5</v>
      </c>
      <c r="I214" s="10" t="str">
        <f t="shared" si="11"/>
        <v>Do: نوار کناری در مراحل زامباس</v>
      </c>
      <c r="J214" s="39" t="s">
        <v>156</v>
      </c>
      <c r="K214" s="26" t="s">
        <v>715</v>
      </c>
    </row>
    <row r="215" spans="1:11">
      <c r="A215" s="9" t="s">
        <v>695</v>
      </c>
      <c r="B215" s="10" t="s">
        <v>713</v>
      </c>
      <c r="C215" s="10" t="s">
        <v>716</v>
      </c>
      <c r="D215" s="14">
        <v>20</v>
      </c>
      <c r="E215" s="17" t="b">
        <v>0</v>
      </c>
      <c r="F215" s="20"/>
      <c r="G215" s="23">
        <f t="shared" si="9"/>
        <v>0</v>
      </c>
      <c r="H215" s="14">
        <f t="shared" si="10"/>
        <v>20</v>
      </c>
      <c r="I215" s="10" t="str">
        <f t="shared" si="11"/>
        <v>Do: اشغال دو سطر</v>
      </c>
      <c r="J215" s="39" t="s">
        <v>156</v>
      </c>
      <c r="K215" s="26" t="s">
        <v>717</v>
      </c>
    </row>
    <row r="216" spans="1:11">
      <c r="A216" s="9" t="s">
        <v>695</v>
      </c>
      <c r="B216" s="10" t="s">
        <v>713</v>
      </c>
      <c r="C216" s="10" t="s">
        <v>718</v>
      </c>
      <c r="D216" s="14">
        <v>15</v>
      </c>
      <c r="E216" s="17" t="b">
        <v>0</v>
      </c>
      <c r="F216" s="20"/>
      <c r="G216" s="23">
        <f t="shared" si="9"/>
        <v>0</v>
      </c>
      <c r="H216" s="14">
        <f t="shared" si="10"/>
        <v>15</v>
      </c>
      <c r="I216" s="10" t="str">
        <f t="shared" si="11"/>
        <v>Do: نوار جان</v>
      </c>
      <c r="J216" s="39" t="s">
        <v>156</v>
      </c>
      <c r="K216" s="26" t="s">
        <v>719</v>
      </c>
    </row>
    <row r="217" spans="1:11">
      <c r="A217" s="9" t="s">
        <v>695</v>
      </c>
      <c r="B217" s="10" t="s">
        <v>713</v>
      </c>
      <c r="C217" s="10" t="s">
        <v>720</v>
      </c>
      <c r="D217" s="14">
        <v>25</v>
      </c>
      <c r="E217" s="17" t="b">
        <v>0</v>
      </c>
      <c r="F217" s="20"/>
      <c r="G217" s="23">
        <f t="shared" si="9"/>
        <v>0</v>
      </c>
      <c r="H217" s="14">
        <f t="shared" si="10"/>
        <v>25</v>
      </c>
      <c r="I217" s="10" t="str">
        <f t="shared" si="11"/>
        <v>Do: گیج شدن</v>
      </c>
      <c r="J217" s="39" t="s">
        <v>156</v>
      </c>
      <c r="K217" s="26" t="s">
        <v>721</v>
      </c>
    </row>
    <row r="218" spans="1:11">
      <c r="A218" s="9" t="s">
        <v>695</v>
      </c>
      <c r="B218" s="10" t="s">
        <v>713</v>
      </c>
      <c r="C218" s="10" t="s">
        <v>722</v>
      </c>
      <c r="D218" s="14">
        <v>30</v>
      </c>
      <c r="E218" s="17" t="b">
        <v>0</v>
      </c>
      <c r="F218" s="20"/>
      <c r="G218" s="23">
        <f t="shared" si="9"/>
        <v>0</v>
      </c>
      <c r="H218" s="14">
        <f t="shared" si="10"/>
        <v>30</v>
      </c>
      <c r="I218" s="10" t="str">
        <f t="shared" si="11"/>
        <v>Do: ظاهر کردن زامبی‌ها</v>
      </c>
      <c r="J218" s="39" t="s">
        <v>156</v>
      </c>
      <c r="K218" s="26" t="s">
        <v>723</v>
      </c>
    </row>
    <row r="219" spans="1:11">
      <c r="A219" s="9" t="s">
        <v>695</v>
      </c>
      <c r="B219" s="10" t="s">
        <v>713</v>
      </c>
      <c r="C219" s="10" t="s">
        <v>724</v>
      </c>
      <c r="D219" s="14">
        <v>25</v>
      </c>
      <c r="E219" s="17" t="b">
        <v>0</v>
      </c>
      <c r="F219" s="20"/>
      <c r="G219" s="23">
        <f t="shared" si="9"/>
        <v>0</v>
      </c>
      <c r="H219" s="14">
        <f t="shared" si="10"/>
        <v>25</v>
      </c>
      <c r="I219" s="10" t="str">
        <f t="shared" si="11"/>
        <v>Do: جابه‌جایی بین سطر‌ها</v>
      </c>
      <c r="J219" s="39" t="s">
        <v>156</v>
      </c>
      <c r="K219" s="26" t="s">
        <v>725</v>
      </c>
    </row>
    <row r="220" spans="1:11">
      <c r="A220" s="9" t="s">
        <v>695</v>
      </c>
      <c r="B220" s="10" t="s">
        <v>726</v>
      </c>
      <c r="C220" s="10" t="s">
        <v>727</v>
      </c>
      <c r="D220" s="14">
        <v>30</v>
      </c>
      <c r="E220" s="17" t="b">
        <v>0</v>
      </c>
      <c r="F220" s="20"/>
      <c r="G220" s="23">
        <f t="shared" si="9"/>
        <v>0</v>
      </c>
      <c r="H220" s="14">
        <f t="shared" si="10"/>
        <v>30</v>
      </c>
      <c r="I220" s="10" t="str">
        <f t="shared" si="11"/>
        <v>Do: گلوله‌های آتشین</v>
      </c>
      <c r="J220" s="39" t="s">
        <v>156</v>
      </c>
      <c r="K220" s="26" t="s">
        <v>728</v>
      </c>
    </row>
    <row r="221" spans="1:11">
      <c r="A221" s="9" t="s">
        <v>695</v>
      </c>
      <c r="B221" s="10" t="s">
        <v>726</v>
      </c>
      <c r="C221" s="10" t="s">
        <v>729</v>
      </c>
      <c r="D221" s="14">
        <v>40</v>
      </c>
      <c r="E221" s="17" t="b">
        <v>0</v>
      </c>
      <c r="F221" s="20"/>
      <c r="G221" s="23">
        <f t="shared" si="9"/>
        <v>0</v>
      </c>
      <c r="H221" s="14">
        <f t="shared" si="10"/>
        <v>40</v>
      </c>
      <c r="I221" s="10" t="str">
        <f t="shared" si="11"/>
        <v>Do: آتش زدن دو ردیف</v>
      </c>
      <c r="J221" s="39" t="s">
        <v>156</v>
      </c>
      <c r="K221" s="26" t="s">
        <v>730</v>
      </c>
    </row>
    <row r="222" spans="1:11">
      <c r="A222" s="9" t="s">
        <v>695</v>
      </c>
      <c r="B222" s="10" t="s">
        <v>726</v>
      </c>
      <c r="C222" s="10" t="s">
        <v>731</v>
      </c>
      <c r="D222" s="14">
        <v>10</v>
      </c>
      <c r="E222" s="17" t="b">
        <v>0</v>
      </c>
      <c r="F222" s="20"/>
      <c r="G222" s="23">
        <f t="shared" si="9"/>
        <v>0</v>
      </c>
      <c r="H222" s="14">
        <f t="shared" si="10"/>
        <v>10</v>
      </c>
      <c r="I222" s="10" t="str">
        <f t="shared" si="11"/>
        <v>Do: زمین‌های آتش گرفته</v>
      </c>
      <c r="J222" s="39" t="s">
        <v>156</v>
      </c>
      <c r="K222" s="26" t="s">
        <v>732</v>
      </c>
    </row>
    <row r="223" spans="1:11">
      <c r="A223" s="9" t="s">
        <v>695</v>
      </c>
      <c r="B223" s="10" t="s">
        <v>726</v>
      </c>
      <c r="C223" s="10" t="s">
        <v>488</v>
      </c>
      <c r="D223" s="14">
        <v>15</v>
      </c>
      <c r="E223" s="17" t="b">
        <v>0</v>
      </c>
      <c r="F223" s="20"/>
      <c r="G223" s="23">
        <f t="shared" si="9"/>
        <v>0</v>
      </c>
      <c r="H223" s="14">
        <f t="shared" si="10"/>
        <v>15</v>
      </c>
      <c r="I223" s="10" t="str">
        <f t="shared" si="11"/>
        <v>Do: انیمیشن حالت بیکار</v>
      </c>
      <c r="J223" s="39" t="s">
        <v>156</v>
      </c>
      <c r="K223" s="26" t="s">
        <v>733</v>
      </c>
    </row>
    <row r="224" spans="1:11">
      <c r="A224" s="9" t="s">
        <v>695</v>
      </c>
      <c r="B224" s="10" t="s">
        <v>726</v>
      </c>
      <c r="C224" s="10" t="s">
        <v>734</v>
      </c>
      <c r="D224" s="14">
        <v>15</v>
      </c>
      <c r="E224" s="17" t="b">
        <v>0</v>
      </c>
      <c r="F224" s="20"/>
      <c r="G224" s="23">
        <f t="shared" si="9"/>
        <v>0</v>
      </c>
      <c r="H224" s="14">
        <f t="shared" si="10"/>
        <v>15</v>
      </c>
      <c r="I224" s="10" t="str">
        <f t="shared" si="11"/>
        <v>Do: انیمیشن پرتاب گلوله</v>
      </c>
      <c r="J224" s="39" t="s">
        <v>156</v>
      </c>
      <c r="K224" s="26" t="s">
        <v>735</v>
      </c>
    </row>
    <row r="225" spans="1:11">
      <c r="A225" s="9" t="s">
        <v>695</v>
      </c>
      <c r="B225" s="10" t="s">
        <v>726</v>
      </c>
      <c r="C225" s="10" t="s">
        <v>736</v>
      </c>
      <c r="D225" s="14">
        <v>15</v>
      </c>
      <c r="E225" s="17" t="b">
        <v>0</v>
      </c>
      <c r="F225" s="20"/>
      <c r="G225" s="23">
        <f t="shared" si="9"/>
        <v>0</v>
      </c>
      <c r="H225" s="14">
        <f t="shared" si="10"/>
        <v>15</v>
      </c>
      <c r="I225" s="10" t="str">
        <f t="shared" si="11"/>
        <v>Do: انیمیشن آتش زدن</v>
      </c>
      <c r="J225" s="39" t="s">
        <v>156</v>
      </c>
      <c r="K225" s="26" t="s">
        <v>737</v>
      </c>
    </row>
    <row r="226" spans="1:11">
      <c r="A226" s="9" t="s">
        <v>695</v>
      </c>
      <c r="B226" s="10" t="s">
        <v>726</v>
      </c>
      <c r="C226" s="10" t="s">
        <v>738</v>
      </c>
      <c r="D226" s="14">
        <v>15</v>
      </c>
      <c r="E226" s="17" t="b">
        <v>0</v>
      </c>
      <c r="F226" s="20"/>
      <c r="G226" s="23">
        <f t="shared" si="9"/>
        <v>0</v>
      </c>
      <c r="H226" s="14">
        <f t="shared" si="10"/>
        <v>15</v>
      </c>
      <c r="I226" s="10" t="str">
        <f t="shared" si="11"/>
        <v>Do: انیمیشن گیج شدن</v>
      </c>
      <c r="J226" s="39" t="s">
        <v>156</v>
      </c>
      <c r="K226" s="26" t="s">
        <v>739</v>
      </c>
    </row>
    <row r="227" spans="1:11">
      <c r="A227" s="9" t="s">
        <v>695</v>
      </c>
      <c r="B227" s="10" t="s">
        <v>740</v>
      </c>
      <c r="C227" s="10" t="s">
        <v>741</v>
      </c>
      <c r="D227" s="14">
        <v>25</v>
      </c>
      <c r="E227" s="17" t="b">
        <v>0</v>
      </c>
      <c r="F227" s="20"/>
      <c r="G227" s="23">
        <f t="shared" si="9"/>
        <v>0</v>
      </c>
      <c r="H227" s="14">
        <f t="shared" si="10"/>
        <v>25</v>
      </c>
      <c r="I227" s="10" t="str">
        <f t="shared" si="11"/>
        <v>Do: موشک</v>
      </c>
      <c r="J227" s="39" t="s">
        <v>156</v>
      </c>
      <c r="K227" s="26" t="s">
        <v>742</v>
      </c>
    </row>
    <row r="228" spans="1:11">
      <c r="A228" s="9" t="s">
        <v>695</v>
      </c>
      <c r="B228" s="10" t="s">
        <v>740</v>
      </c>
      <c r="C228" s="10" t="s">
        <v>743</v>
      </c>
      <c r="D228" s="14">
        <v>20</v>
      </c>
      <c r="E228" s="17" t="b">
        <v>0</v>
      </c>
      <c r="F228" s="20"/>
      <c r="G228" s="23">
        <f t="shared" si="9"/>
        <v>0</v>
      </c>
      <c r="H228" s="14">
        <f t="shared" si="10"/>
        <v>20</v>
      </c>
      <c r="I228" s="10" t="str">
        <f t="shared" si="11"/>
        <v>Do: حرکت سریع به جلو</v>
      </c>
      <c r="J228" s="39" t="s">
        <v>156</v>
      </c>
      <c r="K228" s="26" t="s">
        <v>744</v>
      </c>
    </row>
    <row r="229" spans="1:11">
      <c r="A229" s="9" t="s">
        <v>695</v>
      </c>
      <c r="B229" s="10" t="s">
        <v>740</v>
      </c>
      <c r="C229" s="10" t="s">
        <v>745</v>
      </c>
      <c r="D229" s="14">
        <v>15</v>
      </c>
      <c r="E229" s="17" t="b">
        <v>0</v>
      </c>
      <c r="F229" s="20"/>
      <c r="G229" s="23">
        <f t="shared" si="9"/>
        <v>0</v>
      </c>
      <c r="H229" s="14">
        <f t="shared" si="10"/>
        <v>15</v>
      </c>
      <c r="I229" s="10" t="str">
        <f t="shared" si="11"/>
        <v>Do: انیمیشن موشک</v>
      </c>
      <c r="J229" s="39" t="s">
        <v>156</v>
      </c>
      <c r="K229" s="26" t="s">
        <v>746</v>
      </c>
    </row>
    <row r="230" spans="1:11">
      <c r="A230" s="9" t="s">
        <v>695</v>
      </c>
      <c r="B230" s="10" t="s">
        <v>740</v>
      </c>
      <c r="C230" s="10" t="s">
        <v>747</v>
      </c>
      <c r="D230" s="14">
        <v>15</v>
      </c>
      <c r="E230" s="17" t="b">
        <v>0</v>
      </c>
      <c r="F230" s="20"/>
      <c r="G230" s="23">
        <f t="shared" si="9"/>
        <v>0</v>
      </c>
      <c r="H230" s="14">
        <f t="shared" si="10"/>
        <v>15</v>
      </c>
      <c r="I230" s="10" t="str">
        <f t="shared" si="11"/>
        <v>Do: انیمیشن ظاهر کردن زامبی</v>
      </c>
      <c r="J230" s="39" t="s">
        <v>156</v>
      </c>
      <c r="K230" s="26" t="s">
        <v>748</v>
      </c>
    </row>
    <row r="231" spans="1:11">
      <c r="A231" s="9" t="s">
        <v>695</v>
      </c>
      <c r="B231" s="10" t="s">
        <v>740</v>
      </c>
      <c r="C231" s="10" t="s">
        <v>491</v>
      </c>
      <c r="D231" s="14">
        <v>15</v>
      </c>
      <c r="E231" s="17" t="b">
        <v>0</v>
      </c>
      <c r="F231" s="20"/>
      <c r="G231" s="23">
        <f t="shared" si="9"/>
        <v>0</v>
      </c>
      <c r="H231" s="14">
        <f t="shared" si="10"/>
        <v>15</v>
      </c>
      <c r="I231" s="10" t="str">
        <f t="shared" si="11"/>
        <v>Do: انیمیشن راه رفتن</v>
      </c>
      <c r="J231" s="39" t="s">
        <v>156</v>
      </c>
      <c r="K231" s="26" t="s">
        <v>749</v>
      </c>
    </row>
    <row r="232" spans="1:11">
      <c r="A232" s="9" t="s">
        <v>695</v>
      </c>
      <c r="B232" s="10" t="s">
        <v>740</v>
      </c>
      <c r="C232" s="10" t="s">
        <v>488</v>
      </c>
      <c r="D232" s="14">
        <v>15</v>
      </c>
      <c r="E232" s="17" t="b">
        <v>0</v>
      </c>
      <c r="F232" s="20"/>
      <c r="G232" s="23">
        <f t="shared" si="9"/>
        <v>0</v>
      </c>
      <c r="H232" s="14">
        <f t="shared" si="10"/>
        <v>15</v>
      </c>
      <c r="I232" s="10" t="str">
        <f t="shared" si="11"/>
        <v>Do: انیمیشن حالت بیکار</v>
      </c>
      <c r="J232" s="39" t="s">
        <v>156</v>
      </c>
      <c r="K232" s="26" t="s">
        <v>750</v>
      </c>
    </row>
    <row r="233" spans="1:11">
      <c r="A233" s="9" t="s">
        <v>695</v>
      </c>
      <c r="B233" s="10" t="s">
        <v>751</v>
      </c>
      <c r="C233" s="10" t="s">
        <v>752</v>
      </c>
      <c r="D233" s="14">
        <v>15</v>
      </c>
      <c r="E233" s="17" t="b">
        <v>0</v>
      </c>
      <c r="F233" s="20"/>
      <c r="G233" s="23">
        <f t="shared" si="9"/>
        <v>0</v>
      </c>
      <c r="H233" s="14">
        <f t="shared" si="10"/>
        <v>15</v>
      </c>
      <c r="I233" s="10" t="str">
        <f t="shared" si="11"/>
        <v>Do: موشک ماموت</v>
      </c>
      <c r="J233" s="39" t="s">
        <v>156</v>
      </c>
      <c r="K233" s="26" t="s">
        <v>753</v>
      </c>
    </row>
    <row r="234" spans="1:11">
      <c r="A234" s="9" t="s">
        <v>695</v>
      </c>
      <c r="B234" s="10" t="s">
        <v>751</v>
      </c>
      <c r="C234" s="10" t="s">
        <v>754</v>
      </c>
      <c r="D234" s="14">
        <v>15</v>
      </c>
      <c r="E234" s="17" t="b">
        <v>0</v>
      </c>
      <c r="F234" s="20"/>
      <c r="G234" s="23">
        <f t="shared" si="9"/>
        <v>0</v>
      </c>
      <c r="H234" s="14">
        <f t="shared" si="10"/>
        <v>15</v>
      </c>
      <c r="I234" s="10" t="str">
        <f t="shared" si="11"/>
        <v>Do: باد یخی ماموت</v>
      </c>
      <c r="J234" s="39" t="s">
        <v>156</v>
      </c>
      <c r="K234" s="26" t="s">
        <v>755</v>
      </c>
    </row>
    <row r="235" spans="1:11">
      <c r="A235" s="9" t="s">
        <v>695</v>
      </c>
      <c r="B235" s="10" t="s">
        <v>751</v>
      </c>
      <c r="C235" s="10" t="s">
        <v>573</v>
      </c>
      <c r="D235" s="14">
        <v>25</v>
      </c>
      <c r="E235" s="17" t="b">
        <v>0</v>
      </c>
      <c r="F235" s="20"/>
      <c r="G235" s="23">
        <f t="shared" si="9"/>
        <v>0</v>
      </c>
      <c r="H235" s="14">
        <f t="shared" si="10"/>
        <v>25</v>
      </c>
      <c r="I235" s="10" t="str">
        <f t="shared" si="11"/>
        <v>Do: زامبی‌های یخ‌زده</v>
      </c>
      <c r="J235" s="39" t="s">
        <v>156</v>
      </c>
      <c r="K235" s="26" t="s">
        <v>756</v>
      </c>
    </row>
    <row r="236" spans="1:11">
      <c r="A236" s="9" t="s">
        <v>695</v>
      </c>
      <c r="B236" s="10" t="s">
        <v>751</v>
      </c>
      <c r="C236" s="10" t="s">
        <v>757</v>
      </c>
      <c r="D236" s="14">
        <v>15</v>
      </c>
      <c r="E236" s="17" t="b">
        <v>0</v>
      </c>
      <c r="F236" s="20"/>
      <c r="G236" s="23">
        <f t="shared" si="9"/>
        <v>0</v>
      </c>
      <c r="H236" s="14">
        <f t="shared" si="10"/>
        <v>15</v>
      </c>
      <c r="I236" s="10" t="str">
        <f t="shared" si="11"/>
        <v>Do: انیمیشن باد یخی</v>
      </c>
      <c r="J236" s="39" t="s">
        <v>156</v>
      </c>
      <c r="K236" s="26" t="s">
        <v>758</v>
      </c>
    </row>
    <row r="237" spans="1:11">
      <c r="A237" s="9" t="s">
        <v>695</v>
      </c>
      <c r="B237" s="10" t="s">
        <v>751</v>
      </c>
      <c r="C237" s="10" t="s">
        <v>488</v>
      </c>
      <c r="D237" s="14">
        <v>15</v>
      </c>
      <c r="E237" s="17" t="b">
        <v>0</v>
      </c>
      <c r="F237" s="20"/>
      <c r="G237" s="23">
        <f t="shared" si="9"/>
        <v>0</v>
      </c>
      <c r="H237" s="14">
        <f t="shared" si="10"/>
        <v>15</v>
      </c>
      <c r="I237" s="10" t="str">
        <f t="shared" si="11"/>
        <v>Do: انیمیشن حالت بیکار</v>
      </c>
      <c r="J237" s="39" t="s">
        <v>156</v>
      </c>
      <c r="K237" s="26" t="s">
        <v>759</v>
      </c>
    </row>
    <row r="238" spans="1:11">
      <c r="A238" s="9" t="s">
        <v>695</v>
      </c>
      <c r="B238" s="10" t="s">
        <v>751</v>
      </c>
      <c r="C238" s="10" t="s">
        <v>760</v>
      </c>
      <c r="D238" s="14">
        <v>15</v>
      </c>
      <c r="E238" s="17" t="b">
        <v>0</v>
      </c>
      <c r="F238" s="20"/>
      <c r="G238" s="23">
        <f t="shared" si="9"/>
        <v>0</v>
      </c>
      <c r="H238" s="14">
        <f t="shared" si="10"/>
        <v>15</v>
      </c>
      <c r="I238" s="10" t="str">
        <f t="shared" si="11"/>
        <v>Do: انیمیشن پرتاب موشک</v>
      </c>
      <c r="J238" s="39" t="s">
        <v>156</v>
      </c>
      <c r="K238" s="26" t="s">
        <v>761</v>
      </c>
    </row>
    <row r="239" spans="1:11">
      <c r="A239" s="9" t="s">
        <v>695</v>
      </c>
      <c r="B239" s="10" t="s">
        <v>751</v>
      </c>
      <c r="C239" s="10" t="s">
        <v>762</v>
      </c>
      <c r="D239" s="14">
        <v>15</v>
      </c>
      <c r="E239" s="17" t="b">
        <v>0</v>
      </c>
      <c r="F239" s="20"/>
      <c r="G239" s="23">
        <f t="shared" si="9"/>
        <v>0</v>
      </c>
      <c r="H239" s="14">
        <f t="shared" si="10"/>
        <v>15</v>
      </c>
      <c r="I239" s="10" t="str">
        <f t="shared" si="11"/>
        <v>Do: انیمیشن ظاهر کردن زامبی یخی</v>
      </c>
      <c r="J239" s="39" t="s">
        <v>156</v>
      </c>
      <c r="K239" s="26" t="s">
        <v>763</v>
      </c>
    </row>
    <row r="240" spans="1:11">
      <c r="A240" s="9" t="s">
        <v>695</v>
      </c>
      <c r="B240" s="10" t="s">
        <v>764</v>
      </c>
      <c r="C240" s="10" t="s">
        <v>765</v>
      </c>
      <c r="D240" s="14">
        <v>15</v>
      </c>
      <c r="E240" s="17" t="b">
        <v>0</v>
      </c>
      <c r="F240" s="20"/>
      <c r="G240" s="23">
        <f t="shared" si="9"/>
        <v>0</v>
      </c>
      <c r="H240" s="14">
        <f t="shared" si="10"/>
        <v>15</v>
      </c>
      <c r="I240" s="10" t="str">
        <f t="shared" si="11"/>
        <v>Do: کوسه‌های کوچک</v>
      </c>
      <c r="J240" s="39" t="s">
        <v>156</v>
      </c>
      <c r="K240" s="26" t="s">
        <v>766</v>
      </c>
    </row>
    <row r="241" spans="1:11">
      <c r="A241" s="9" t="s">
        <v>695</v>
      </c>
      <c r="B241" s="10" t="s">
        <v>764</v>
      </c>
      <c r="C241" s="10" t="s">
        <v>767</v>
      </c>
      <c r="D241" s="14">
        <v>30</v>
      </c>
      <c r="E241" s="17" t="b">
        <v>0</v>
      </c>
      <c r="F241" s="20"/>
      <c r="G241" s="23">
        <f t="shared" si="9"/>
        <v>0</v>
      </c>
      <c r="H241" s="14">
        <f t="shared" si="10"/>
        <v>30</v>
      </c>
      <c r="I241" s="10" t="str">
        <f t="shared" si="11"/>
        <v>Do: توربین</v>
      </c>
      <c r="J241" s="39" t="s">
        <v>156</v>
      </c>
      <c r="K241" s="26" t="s">
        <v>768</v>
      </c>
    </row>
    <row r="242" spans="1:11">
      <c r="A242" s="9" t="s">
        <v>695</v>
      </c>
      <c r="B242" s="10" t="s">
        <v>764</v>
      </c>
      <c r="C242" s="10" t="s">
        <v>488</v>
      </c>
      <c r="D242" s="14">
        <v>15</v>
      </c>
      <c r="E242" s="17" t="b">
        <v>0</v>
      </c>
      <c r="F242" s="20"/>
      <c r="G242" s="23">
        <f t="shared" si="9"/>
        <v>0</v>
      </c>
      <c r="H242" s="14">
        <f t="shared" si="10"/>
        <v>15</v>
      </c>
      <c r="I242" s="10" t="str">
        <f t="shared" si="11"/>
        <v>Do: انیمیشن حالت بیکار</v>
      </c>
      <c r="J242" s="39" t="s">
        <v>156</v>
      </c>
      <c r="K242" s="26" t="s">
        <v>769</v>
      </c>
    </row>
    <row r="243" spans="1:11">
      <c r="A243" s="11" t="s">
        <v>695</v>
      </c>
      <c r="B243" s="12" t="s">
        <v>764</v>
      </c>
      <c r="C243" s="12" t="s">
        <v>770</v>
      </c>
      <c r="D243" s="15">
        <v>15</v>
      </c>
      <c r="E243" s="18" t="b">
        <v>0</v>
      </c>
      <c r="F243" s="21"/>
      <c r="G243" s="24">
        <f t="shared" si="9"/>
        <v>0</v>
      </c>
      <c r="H243" s="15">
        <f t="shared" si="10"/>
        <v>15</v>
      </c>
      <c r="I243" s="12" t="str">
        <f t="shared" si="11"/>
        <v>Do: انیمیشن توربین</v>
      </c>
      <c r="J243" s="40" t="s">
        <v>156</v>
      </c>
      <c r="K243" s="26" t="s">
        <v>771</v>
      </c>
    </row>
    <row r="244" spans="1:11">
      <c r="A244" t="s">
        <v>695</v>
      </c>
      <c r="B244" t="s">
        <v>764</v>
      </c>
      <c r="C244" t="s">
        <v>772</v>
      </c>
      <c r="D244">
        <v>15</v>
      </c>
      <c r="E244" s="3" t="b">
        <v>0</v>
      </c>
      <c r="G244">
        <f t="shared" si="9"/>
        <v>0</v>
      </c>
      <c r="H244">
        <f t="shared" si="10"/>
        <v>15</v>
      </c>
      <c r="I244" t="str">
        <f t="shared" si="11"/>
        <v>Do: انیمیشن ظاهر کردن کوسه</v>
      </c>
      <c r="J244" s="11" t="s">
        <v>156</v>
      </c>
      <c r="K244" s="27" t="s">
        <v>773</v>
      </c>
    </row>
  </sheetData>
  <mergeCells count="11">
    <mergeCell ref="E7:F7"/>
    <mergeCell ref="E8:F8"/>
    <mergeCell ref="G7:H7"/>
    <mergeCell ref="G8:H8"/>
    <mergeCell ref="A1:K1"/>
    <mergeCell ref="A5:K5"/>
    <mergeCell ref="B3:D3"/>
    <mergeCell ref="A7:B7"/>
    <mergeCell ref="A8:B8"/>
    <mergeCell ref="C7:D7"/>
    <mergeCell ref="C8:D8"/>
  </mergeCells>
  <conditionalFormatting sqref="D11:D243">
    <cfRule type="expression" dxfId="5" priority="1">
      <formula>D11=0</formula>
    </cfRule>
  </conditionalFormatting>
  <conditionalFormatting sqref="F11:F243">
    <cfRule type="expression" dxfId="4" priority="6">
      <formula>OR(F11&lt;0,F11&gt;D11)</formula>
    </cfRule>
  </conditionalFormatting>
  <conditionalFormatting sqref="G11:G243">
    <cfRule type="expression" dxfId="3" priority="2">
      <formula>AND($D11&gt;0,$G11=0)</formula>
    </cfRule>
    <cfRule type="expression" dxfId="2" priority="3">
      <formula>AND($D11&gt;0,$G11=$D11)</formula>
    </cfRule>
    <cfRule type="expression" dxfId="1" priority="4">
      <formula>AND($G11&gt;0,$G11&lt;$D11)</formula>
    </cfRule>
    <cfRule type="expression" dxfId="0" priority="5">
      <formula>$D11=0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5"/>
  <sheetViews>
    <sheetView workbookViewId="0"/>
  </sheetViews>
  <sheetFormatPr defaultRowHeight="13.8"/>
  <sheetData>
    <row r="1" spans="1:53">
      <c r="A1" s="28" t="s">
        <v>774</v>
      </c>
      <c r="B1" s="28" t="s">
        <v>35</v>
      </c>
      <c r="C1" s="28" t="s">
        <v>37</v>
      </c>
      <c r="D1" s="28" t="s">
        <v>41</v>
      </c>
      <c r="E1" s="28" t="s">
        <v>43</v>
      </c>
      <c r="F1" s="28" t="s">
        <v>45</v>
      </c>
      <c r="G1" s="28" t="s">
        <v>48</v>
      </c>
      <c r="H1" s="28" t="s">
        <v>50</v>
      </c>
      <c r="I1" s="28" t="s">
        <v>52</v>
      </c>
      <c r="J1" s="28" t="s">
        <v>54</v>
      </c>
      <c r="K1" s="28" t="s">
        <v>57</v>
      </c>
      <c r="L1" s="28" t="s">
        <v>59</v>
      </c>
      <c r="M1" s="28" t="s">
        <v>62</v>
      </c>
      <c r="N1" s="28" t="s">
        <v>64</v>
      </c>
      <c r="O1" s="28" t="s">
        <v>67</v>
      </c>
      <c r="P1" s="28" t="s">
        <v>69</v>
      </c>
      <c r="Q1" s="28" t="s">
        <v>72</v>
      </c>
      <c r="R1" s="28" t="s">
        <v>74</v>
      </c>
      <c r="S1" s="28" t="s">
        <v>76</v>
      </c>
      <c r="T1" s="28" t="s">
        <v>79</v>
      </c>
      <c r="U1" s="28" t="s">
        <v>81</v>
      </c>
      <c r="V1" s="28" t="s">
        <v>83</v>
      </c>
      <c r="W1" s="28" t="s">
        <v>85</v>
      </c>
      <c r="X1" s="28" t="s">
        <v>87</v>
      </c>
      <c r="Y1" s="28" t="s">
        <v>90</v>
      </c>
      <c r="Z1" s="28" t="s">
        <v>92</v>
      </c>
      <c r="AA1" s="28" t="s">
        <v>94</v>
      </c>
      <c r="AB1" s="28" t="s">
        <v>96</v>
      </c>
      <c r="AC1" s="28" t="s">
        <v>99</v>
      </c>
      <c r="AD1" s="28" t="s">
        <v>101</v>
      </c>
      <c r="AE1" s="28" t="s">
        <v>103</v>
      </c>
      <c r="AF1" s="28" t="s">
        <v>106</v>
      </c>
      <c r="AG1" s="28" t="s">
        <v>108</v>
      </c>
      <c r="AH1" s="28" t="s">
        <v>110</v>
      </c>
      <c r="AI1" s="28" t="s">
        <v>113</v>
      </c>
      <c r="AJ1" s="28" t="s">
        <v>115</v>
      </c>
      <c r="AK1" s="28" t="s">
        <v>116</v>
      </c>
      <c r="AL1" s="28" t="s">
        <v>119</v>
      </c>
      <c r="AM1" s="28" t="s">
        <v>121</v>
      </c>
      <c r="AN1" s="28" t="s">
        <v>123</v>
      </c>
      <c r="AO1" s="28" t="s">
        <v>126</v>
      </c>
      <c r="AP1" s="28" t="s">
        <v>128</v>
      </c>
      <c r="AQ1" s="28" t="s">
        <v>131</v>
      </c>
      <c r="AR1" s="28" t="s">
        <v>133</v>
      </c>
      <c r="AS1" s="28" t="s">
        <v>135</v>
      </c>
      <c r="AT1" s="28" t="s">
        <v>138</v>
      </c>
      <c r="AU1" s="28" t="s">
        <v>140</v>
      </c>
      <c r="AV1" s="28" t="s">
        <v>143</v>
      </c>
      <c r="AW1" s="28" t="s">
        <v>145</v>
      </c>
      <c r="AX1" s="28" t="s">
        <v>148</v>
      </c>
      <c r="AY1" s="28" t="s">
        <v>150</v>
      </c>
      <c r="AZ1" s="28" t="s">
        <v>153</v>
      </c>
      <c r="BA1" s="28" t="s">
        <v>226</v>
      </c>
    </row>
    <row r="2" spans="1:5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</row>
    <row r="3" spans="1:5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</row>
    <row r="4" spans="1:53">
      <c r="A4" s="28" t="s">
        <v>775</v>
      </c>
      <c r="B4" s="28">
        <v>5</v>
      </c>
      <c r="C4" s="28">
        <v>5</v>
      </c>
      <c r="D4" s="28">
        <v>5</v>
      </c>
      <c r="E4" s="28">
        <v>5</v>
      </c>
      <c r="F4" s="28">
        <v>5</v>
      </c>
      <c r="G4" s="28">
        <v>5</v>
      </c>
      <c r="H4" s="28">
        <v>5</v>
      </c>
      <c r="I4" s="28">
        <v>5</v>
      </c>
      <c r="J4" s="28">
        <v>5</v>
      </c>
      <c r="K4" s="28">
        <v>5</v>
      </c>
      <c r="L4" s="28">
        <v>5</v>
      </c>
      <c r="M4" s="28">
        <v>5</v>
      </c>
      <c r="N4" s="28">
        <v>5</v>
      </c>
      <c r="O4" s="28">
        <v>5</v>
      </c>
      <c r="P4" s="28">
        <v>5</v>
      </c>
      <c r="Q4" s="28">
        <v>5</v>
      </c>
      <c r="R4" s="28">
        <v>5</v>
      </c>
      <c r="S4" s="28">
        <v>5</v>
      </c>
      <c r="T4" s="28">
        <v>20</v>
      </c>
      <c r="U4" s="28">
        <v>5</v>
      </c>
      <c r="V4" s="28">
        <v>5</v>
      </c>
      <c r="W4" s="28">
        <v>5</v>
      </c>
      <c r="X4" s="28">
        <v>5</v>
      </c>
      <c r="Y4" s="28">
        <v>5</v>
      </c>
      <c r="Z4" s="28">
        <v>5</v>
      </c>
      <c r="AA4" s="28">
        <v>5</v>
      </c>
      <c r="AB4" s="28">
        <v>20</v>
      </c>
      <c r="AC4" s="28">
        <v>5</v>
      </c>
      <c r="AD4" s="28">
        <v>5</v>
      </c>
      <c r="AE4" s="28">
        <v>5</v>
      </c>
      <c r="AF4" s="28">
        <v>5</v>
      </c>
      <c r="AG4" s="28">
        <v>5</v>
      </c>
      <c r="AH4" s="28">
        <v>5</v>
      </c>
      <c r="AI4" s="28">
        <v>5</v>
      </c>
      <c r="AJ4" s="28">
        <v>5</v>
      </c>
      <c r="AK4" s="28">
        <v>5</v>
      </c>
      <c r="AL4" s="28">
        <v>5</v>
      </c>
      <c r="AM4" s="28">
        <v>5</v>
      </c>
      <c r="AN4" s="28">
        <v>5</v>
      </c>
      <c r="AO4" s="28">
        <v>5</v>
      </c>
      <c r="AP4" s="28">
        <v>5</v>
      </c>
      <c r="AQ4" s="28">
        <v>5</v>
      </c>
      <c r="AR4" s="28">
        <v>5</v>
      </c>
      <c r="AS4" s="28">
        <v>5</v>
      </c>
      <c r="AT4" s="28">
        <v>5</v>
      </c>
      <c r="AU4" s="28">
        <v>5</v>
      </c>
      <c r="AV4" s="28">
        <v>5</v>
      </c>
      <c r="AW4" s="28">
        <v>5</v>
      </c>
      <c r="AX4" s="28">
        <v>5</v>
      </c>
      <c r="AY4" s="28">
        <v>5</v>
      </c>
      <c r="AZ4" s="28">
        <v>100</v>
      </c>
      <c r="BA4" s="28">
        <f>SUM(B4:AZ4)</f>
        <v>380</v>
      </c>
    </row>
    <row r="5" spans="1:53">
      <c r="A5" s="28" t="s">
        <v>776</v>
      </c>
      <c r="B5" s="28">
        <f>'Phase 0'!G11</f>
        <v>0</v>
      </c>
      <c r="C5" s="28">
        <f>'Phase 0'!G12</f>
        <v>0</v>
      </c>
      <c r="D5" s="28">
        <f>'Phase 0'!G13</f>
        <v>0</v>
      </c>
      <c r="E5" s="28">
        <f>'Phase 0'!G14</f>
        <v>0</v>
      </c>
      <c r="F5" s="28">
        <f>'Phase 0'!G15</f>
        <v>0</v>
      </c>
      <c r="G5" s="28">
        <f>'Phase 0'!G16</f>
        <v>0</v>
      </c>
      <c r="H5" s="28">
        <f>'Phase 0'!G17</f>
        <v>0</v>
      </c>
      <c r="I5" s="28">
        <f>'Phase 0'!G18</f>
        <v>0</v>
      </c>
      <c r="J5" s="28">
        <f>'Phase 0'!G19</f>
        <v>0</v>
      </c>
      <c r="K5" s="28">
        <f>'Phase 0'!G20</f>
        <v>0</v>
      </c>
      <c r="L5" s="28">
        <f>'Phase 0'!G21</f>
        <v>0</v>
      </c>
      <c r="M5" s="28">
        <f>'Phase 0'!G22</f>
        <v>0</v>
      </c>
      <c r="N5" s="28">
        <f>'Phase 0'!G23</f>
        <v>0</v>
      </c>
      <c r="O5" s="28">
        <f>'Phase 0'!G24</f>
        <v>0</v>
      </c>
      <c r="P5" s="28">
        <f>'Phase 0'!G25</f>
        <v>0</v>
      </c>
      <c r="Q5" s="28">
        <f>'Phase 0'!G26</f>
        <v>0</v>
      </c>
      <c r="R5" s="28">
        <f>'Phase 0'!G27</f>
        <v>0</v>
      </c>
      <c r="S5" s="28">
        <f>'Phase 0'!G28</f>
        <v>0</v>
      </c>
      <c r="T5" s="28">
        <f>'Phase 0'!G29</f>
        <v>0</v>
      </c>
      <c r="U5" s="28">
        <f>'Phase 0'!G30</f>
        <v>0</v>
      </c>
      <c r="V5" s="28">
        <f>'Phase 0'!G31</f>
        <v>0</v>
      </c>
      <c r="W5" s="28">
        <f>'Phase 0'!G32</f>
        <v>0</v>
      </c>
      <c r="X5" s="28">
        <f>'Phase 0'!G33</f>
        <v>0</v>
      </c>
      <c r="Y5" s="28">
        <f>'Phase 0'!G34</f>
        <v>0</v>
      </c>
      <c r="Z5" s="28">
        <f>'Phase 0'!G35</f>
        <v>0</v>
      </c>
      <c r="AA5" s="28">
        <f>'Phase 0'!G36</f>
        <v>0</v>
      </c>
      <c r="AB5" s="28">
        <f>'Phase 0'!G37</f>
        <v>0</v>
      </c>
      <c r="AC5" s="28">
        <f>'Phase 0'!G38</f>
        <v>0</v>
      </c>
      <c r="AD5" s="28">
        <f>'Phase 0'!G39</f>
        <v>0</v>
      </c>
      <c r="AE5" s="28">
        <f>'Phase 0'!G40</f>
        <v>0</v>
      </c>
      <c r="AF5" s="28">
        <f>'Phase 0'!G41</f>
        <v>0</v>
      </c>
      <c r="AG5" s="28">
        <f>'Phase 0'!G42</f>
        <v>0</v>
      </c>
      <c r="AH5" s="28">
        <f>'Phase 0'!G43</f>
        <v>0</v>
      </c>
      <c r="AI5" s="28">
        <f>'Phase 0'!G44</f>
        <v>0</v>
      </c>
      <c r="AJ5" s="28">
        <f>'Phase 0'!G45</f>
        <v>0</v>
      </c>
      <c r="AK5" s="28">
        <f>'Phase 0'!G46</f>
        <v>0</v>
      </c>
      <c r="AL5" s="28">
        <f>'Phase 0'!G47</f>
        <v>0</v>
      </c>
      <c r="AM5" s="28">
        <f>'Phase 0'!G48</f>
        <v>0</v>
      </c>
      <c r="AN5" s="28">
        <f>'Phase 0'!G49</f>
        <v>0</v>
      </c>
      <c r="AO5" s="28">
        <f>'Phase 0'!G50</f>
        <v>0</v>
      </c>
      <c r="AP5" s="28">
        <f>'Phase 0'!G51</f>
        <v>0</v>
      </c>
      <c r="AQ5" s="28">
        <f>'Phase 0'!G52</f>
        <v>0</v>
      </c>
      <c r="AR5" s="28">
        <f>'Phase 0'!G53</f>
        <v>0</v>
      </c>
      <c r="AS5" s="28">
        <f>'Phase 0'!G54</f>
        <v>0</v>
      </c>
      <c r="AT5" s="28">
        <f>'Phase 0'!G55</f>
        <v>0</v>
      </c>
      <c r="AU5" s="28">
        <f>'Phase 0'!G56</f>
        <v>0</v>
      </c>
      <c r="AV5" s="28">
        <f>'Phase 0'!G57</f>
        <v>0</v>
      </c>
      <c r="AW5" s="28">
        <f>'Phase 0'!G58</f>
        <v>0</v>
      </c>
      <c r="AX5" s="28">
        <f>'Phase 0'!G59</f>
        <v>0</v>
      </c>
      <c r="AY5" s="28">
        <f>'Phase 0'!G60</f>
        <v>0</v>
      </c>
      <c r="AZ5" s="28">
        <f>'Phase 0'!G61</f>
        <v>0</v>
      </c>
      <c r="BA5" s="28" t="str">
        <f>IF(SUM(B5:AZ5)=0,"",SUM(B5:AZ5))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5"/>
  <sheetViews>
    <sheetView workbookViewId="0"/>
  </sheetViews>
  <sheetFormatPr defaultRowHeight="13.8"/>
  <sheetData>
    <row r="1" spans="1:136">
      <c r="A1" s="28" t="s">
        <v>774</v>
      </c>
      <c r="B1" s="28" t="s">
        <v>35</v>
      </c>
      <c r="C1" s="28" t="s">
        <v>37</v>
      </c>
      <c r="D1" s="28" t="s">
        <v>41</v>
      </c>
      <c r="E1" s="28" t="s">
        <v>43</v>
      </c>
      <c r="F1" s="28" t="s">
        <v>45</v>
      </c>
      <c r="G1" s="28" t="s">
        <v>48</v>
      </c>
      <c r="H1" s="28" t="s">
        <v>50</v>
      </c>
      <c r="I1" s="28" t="s">
        <v>52</v>
      </c>
      <c r="J1" s="28" t="s">
        <v>54</v>
      </c>
      <c r="K1" s="28" t="s">
        <v>57</v>
      </c>
      <c r="L1" s="28" t="s">
        <v>59</v>
      </c>
      <c r="M1" s="28" t="s">
        <v>62</v>
      </c>
      <c r="N1" s="28" t="s">
        <v>64</v>
      </c>
      <c r="O1" s="28" t="s">
        <v>67</v>
      </c>
      <c r="P1" s="28" t="s">
        <v>69</v>
      </c>
      <c r="Q1" s="28" t="s">
        <v>72</v>
      </c>
      <c r="R1" s="28" t="s">
        <v>74</v>
      </c>
      <c r="S1" s="28" t="s">
        <v>76</v>
      </c>
      <c r="T1" s="28" t="s">
        <v>79</v>
      </c>
      <c r="U1" s="28" t="s">
        <v>81</v>
      </c>
      <c r="V1" s="28" t="s">
        <v>83</v>
      </c>
      <c r="W1" s="28" t="s">
        <v>85</v>
      </c>
      <c r="X1" s="28" t="s">
        <v>87</v>
      </c>
      <c r="Y1" s="28" t="s">
        <v>90</v>
      </c>
      <c r="Z1" s="28" t="s">
        <v>92</v>
      </c>
      <c r="AA1" s="28" t="s">
        <v>94</v>
      </c>
      <c r="AB1" s="28" t="s">
        <v>96</v>
      </c>
      <c r="AC1" s="28" t="s">
        <v>99</v>
      </c>
      <c r="AD1" s="28" t="s">
        <v>101</v>
      </c>
      <c r="AE1" s="28" t="s">
        <v>103</v>
      </c>
      <c r="AF1" s="28" t="s">
        <v>106</v>
      </c>
      <c r="AG1" s="28" t="s">
        <v>108</v>
      </c>
      <c r="AH1" s="28" t="s">
        <v>110</v>
      </c>
      <c r="AI1" s="28" t="s">
        <v>113</v>
      </c>
      <c r="AJ1" s="28" t="s">
        <v>115</v>
      </c>
      <c r="AK1" s="28" t="s">
        <v>116</v>
      </c>
      <c r="AL1" s="28" t="s">
        <v>119</v>
      </c>
      <c r="AM1" s="28" t="s">
        <v>121</v>
      </c>
      <c r="AN1" s="28" t="s">
        <v>123</v>
      </c>
      <c r="AO1" s="28" t="s">
        <v>126</v>
      </c>
      <c r="AP1" s="28" t="s">
        <v>128</v>
      </c>
      <c r="AQ1" s="28" t="s">
        <v>131</v>
      </c>
      <c r="AR1" s="28" t="s">
        <v>133</v>
      </c>
      <c r="AS1" s="28" t="s">
        <v>135</v>
      </c>
      <c r="AT1" s="28" t="s">
        <v>138</v>
      </c>
      <c r="AU1" s="28" t="s">
        <v>140</v>
      </c>
      <c r="AV1" s="28" t="s">
        <v>143</v>
      </c>
      <c r="AW1" s="28" t="s">
        <v>145</v>
      </c>
      <c r="AX1" s="28" t="s">
        <v>148</v>
      </c>
      <c r="AY1" s="28" t="s">
        <v>150</v>
      </c>
      <c r="AZ1" s="28" t="s">
        <v>153</v>
      </c>
      <c r="BA1" s="28" t="s">
        <v>226</v>
      </c>
      <c r="BB1" s="28" t="s">
        <v>229</v>
      </c>
      <c r="BC1" s="28" t="s">
        <v>231</v>
      </c>
      <c r="BD1" s="28" t="s">
        <v>233</v>
      </c>
      <c r="BE1" s="28" t="s">
        <v>236</v>
      </c>
      <c r="BF1" s="28" t="s">
        <v>238</v>
      </c>
      <c r="BG1" s="28" t="s">
        <v>240</v>
      </c>
      <c r="BH1" s="28" t="s">
        <v>243</v>
      </c>
      <c r="BI1" s="28" t="s">
        <v>245</v>
      </c>
      <c r="BJ1" s="28" t="s">
        <v>247</v>
      </c>
      <c r="BK1" s="28" t="s">
        <v>249</v>
      </c>
      <c r="BL1" s="28" t="s">
        <v>251</v>
      </c>
      <c r="BM1" s="28" t="s">
        <v>253</v>
      </c>
      <c r="BN1" s="28" t="s">
        <v>255</v>
      </c>
      <c r="BO1" s="28" t="s">
        <v>256</v>
      </c>
      <c r="BP1" s="28" t="s">
        <v>259</v>
      </c>
      <c r="BQ1" s="28" t="s">
        <v>261</v>
      </c>
      <c r="BR1" s="28" t="s">
        <v>263</v>
      </c>
      <c r="BS1" s="28" t="s">
        <v>266</v>
      </c>
      <c r="BT1" s="28" t="s">
        <v>268</v>
      </c>
      <c r="BU1" s="28" t="s">
        <v>270</v>
      </c>
      <c r="BV1" s="28" t="s">
        <v>272</v>
      </c>
      <c r="BW1" s="28" t="s">
        <v>276</v>
      </c>
      <c r="BX1" s="28" t="s">
        <v>278</v>
      </c>
      <c r="BY1" s="28" t="s">
        <v>281</v>
      </c>
      <c r="BZ1" s="28" t="s">
        <v>282</v>
      </c>
      <c r="CA1" s="28" t="s">
        <v>286</v>
      </c>
      <c r="CB1" s="28" t="s">
        <v>288</v>
      </c>
      <c r="CC1" s="28" t="s">
        <v>290</v>
      </c>
      <c r="CD1" s="28" t="s">
        <v>292</v>
      </c>
      <c r="CE1" s="28" t="s">
        <v>295</v>
      </c>
      <c r="CF1" s="28" t="s">
        <v>296</v>
      </c>
      <c r="CG1" s="28" t="s">
        <v>298</v>
      </c>
      <c r="CH1" s="28" t="s">
        <v>301</v>
      </c>
      <c r="CI1" s="28" t="s">
        <v>303</v>
      </c>
      <c r="CJ1" s="28" t="s">
        <v>306</v>
      </c>
      <c r="CK1" s="28" t="s">
        <v>308</v>
      </c>
      <c r="CL1" s="28" t="s">
        <v>310</v>
      </c>
      <c r="CM1" s="28" t="s">
        <v>312</v>
      </c>
      <c r="CN1" s="28" t="s">
        <v>314</v>
      </c>
      <c r="CO1" s="28" t="s">
        <v>317</v>
      </c>
      <c r="CP1" s="28" t="s">
        <v>319</v>
      </c>
      <c r="CQ1" s="28" t="s">
        <v>321</v>
      </c>
      <c r="CR1" s="28" t="s">
        <v>325</v>
      </c>
      <c r="CS1" s="28" t="s">
        <v>327</v>
      </c>
      <c r="CT1" s="28" t="s">
        <v>329</v>
      </c>
      <c r="CU1" s="28" t="s">
        <v>332</v>
      </c>
      <c r="CV1" s="28" t="s">
        <v>334</v>
      </c>
      <c r="CW1" s="28" t="s">
        <v>336</v>
      </c>
      <c r="CX1" s="28" t="s">
        <v>340</v>
      </c>
      <c r="CY1" s="28" t="s">
        <v>342</v>
      </c>
      <c r="CZ1" s="28" t="s">
        <v>344</v>
      </c>
      <c r="DA1" s="28" t="s">
        <v>346</v>
      </c>
      <c r="DB1" s="28" t="s">
        <v>348</v>
      </c>
      <c r="DC1" s="28" t="s">
        <v>350</v>
      </c>
      <c r="DD1" s="28" t="s">
        <v>352</v>
      </c>
      <c r="DE1" s="28" t="s">
        <v>354</v>
      </c>
      <c r="DF1" s="28" t="s">
        <v>356</v>
      </c>
      <c r="DG1" s="28" t="s">
        <v>357</v>
      </c>
      <c r="DH1" s="28" t="s">
        <v>358</v>
      </c>
      <c r="DI1" s="28" t="s">
        <v>360</v>
      </c>
      <c r="DJ1" s="28" t="s">
        <v>362</v>
      </c>
      <c r="DK1" s="28" t="s">
        <v>363</v>
      </c>
      <c r="DL1" s="28" t="s">
        <v>364</v>
      </c>
      <c r="DM1" s="28" t="s">
        <v>367</v>
      </c>
      <c r="DN1" s="28" t="s">
        <v>369</v>
      </c>
      <c r="DO1" s="28" t="s">
        <v>371</v>
      </c>
      <c r="DP1" s="28" t="s">
        <v>373</v>
      </c>
      <c r="DQ1" s="28" t="s">
        <v>375</v>
      </c>
      <c r="DR1" s="28" t="s">
        <v>376</v>
      </c>
      <c r="DS1" s="28" t="s">
        <v>377</v>
      </c>
      <c r="DT1" s="28" t="s">
        <v>378</v>
      </c>
      <c r="DU1" s="28" t="s">
        <v>381</v>
      </c>
      <c r="DV1" s="28" t="s">
        <v>383</v>
      </c>
      <c r="DW1" s="28" t="s">
        <v>385</v>
      </c>
      <c r="DX1" s="28" t="s">
        <v>386</v>
      </c>
      <c r="DY1" s="28" t="s">
        <v>388</v>
      </c>
      <c r="DZ1" s="28" t="s">
        <v>392</v>
      </c>
      <c r="EA1" s="28" t="s">
        <v>555</v>
      </c>
      <c r="EB1" s="28" t="s">
        <v>557</v>
      </c>
      <c r="EC1" s="28" t="s">
        <v>559</v>
      </c>
      <c r="ED1" s="28" t="s">
        <v>561</v>
      </c>
      <c r="EE1" s="28" t="s">
        <v>563</v>
      </c>
      <c r="EF1" s="28" t="s">
        <v>567</v>
      </c>
    </row>
    <row r="2" spans="1:136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</row>
    <row r="3" spans="1:136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</row>
    <row r="4" spans="1:136">
      <c r="A4" s="28" t="s">
        <v>775</v>
      </c>
      <c r="B4" s="28">
        <v>5</v>
      </c>
      <c r="C4" s="28">
        <v>0</v>
      </c>
      <c r="D4" s="28">
        <v>25</v>
      </c>
      <c r="E4" s="28">
        <v>15</v>
      </c>
      <c r="F4" s="28">
        <v>10</v>
      </c>
      <c r="G4" s="28">
        <v>2</v>
      </c>
      <c r="H4" s="28">
        <v>10</v>
      </c>
      <c r="I4" s="28">
        <v>10</v>
      </c>
      <c r="J4" s="28">
        <v>10</v>
      </c>
      <c r="K4" s="28">
        <v>5</v>
      </c>
      <c r="L4" s="28">
        <v>10</v>
      </c>
      <c r="M4" s="28">
        <v>5</v>
      </c>
      <c r="N4" s="28">
        <v>20</v>
      </c>
      <c r="O4" s="28">
        <v>10</v>
      </c>
      <c r="P4" s="28">
        <v>25</v>
      </c>
      <c r="Q4" s="28"/>
      <c r="R4" s="28">
        <v>10</v>
      </c>
      <c r="S4" s="28">
        <v>5</v>
      </c>
      <c r="T4" s="28">
        <v>5</v>
      </c>
      <c r="U4" s="28">
        <v>10</v>
      </c>
      <c r="V4" s="28">
        <v>5</v>
      </c>
      <c r="W4" s="28">
        <v>5</v>
      </c>
      <c r="X4" s="28">
        <v>5</v>
      </c>
      <c r="Y4" s="28">
        <v>5</v>
      </c>
      <c r="Z4" s="28">
        <v>15</v>
      </c>
      <c r="AA4" s="28">
        <v>15</v>
      </c>
      <c r="AB4" s="28">
        <v>5</v>
      </c>
      <c r="AC4" s="28">
        <v>10</v>
      </c>
      <c r="AD4" s="28">
        <v>10</v>
      </c>
      <c r="AE4" s="28">
        <v>30</v>
      </c>
      <c r="AF4" s="28">
        <v>5</v>
      </c>
      <c r="AG4" s="28">
        <v>200</v>
      </c>
      <c r="AH4" s="28">
        <v>25</v>
      </c>
      <c r="AI4" s="28">
        <v>15</v>
      </c>
      <c r="AJ4" s="28">
        <v>75</v>
      </c>
      <c r="AK4" s="28">
        <v>100</v>
      </c>
      <c r="AL4" s="28">
        <v>100</v>
      </c>
      <c r="AM4" s="28">
        <v>100</v>
      </c>
      <c r="AN4" s="28">
        <v>40</v>
      </c>
      <c r="AO4" s="28">
        <v>40</v>
      </c>
      <c r="AP4" s="28">
        <v>40</v>
      </c>
      <c r="AQ4" s="28">
        <v>40</v>
      </c>
      <c r="AR4" s="28">
        <v>8</v>
      </c>
      <c r="AS4" s="28">
        <v>20</v>
      </c>
      <c r="AT4" s="28">
        <v>250</v>
      </c>
      <c r="AU4" s="28">
        <v>10</v>
      </c>
      <c r="AV4" s="28">
        <v>25</v>
      </c>
      <c r="AW4" s="28">
        <v>40</v>
      </c>
      <c r="AX4" s="28">
        <v>10</v>
      </c>
      <c r="AY4" s="28">
        <v>30</v>
      </c>
      <c r="AZ4" s="28">
        <v>10</v>
      </c>
      <c r="BA4" s="28">
        <v>30</v>
      </c>
      <c r="BB4" s="28">
        <v>40</v>
      </c>
      <c r="BC4" s="28">
        <v>50</v>
      </c>
      <c r="BD4" s="28">
        <v>20</v>
      </c>
      <c r="BE4" s="28">
        <v>50</v>
      </c>
      <c r="BF4" s="28">
        <v>50</v>
      </c>
      <c r="BG4" s="28">
        <v>30</v>
      </c>
      <c r="BH4" s="28">
        <v>20</v>
      </c>
      <c r="BI4" s="28">
        <v>10</v>
      </c>
      <c r="BJ4" s="28">
        <v>10</v>
      </c>
      <c r="BK4" s="28">
        <v>25</v>
      </c>
      <c r="BL4" s="28">
        <v>50</v>
      </c>
      <c r="BM4" s="28">
        <v>50</v>
      </c>
      <c r="BN4" s="28">
        <v>30</v>
      </c>
      <c r="BO4" s="28">
        <v>50</v>
      </c>
      <c r="BP4" s="28">
        <v>10</v>
      </c>
      <c r="BQ4" s="28">
        <v>20</v>
      </c>
      <c r="BR4" s="28">
        <v>20</v>
      </c>
      <c r="BS4" s="28">
        <v>15</v>
      </c>
      <c r="BT4" s="28">
        <v>20</v>
      </c>
      <c r="BU4" s="28">
        <v>50</v>
      </c>
      <c r="BV4" s="28">
        <v>50</v>
      </c>
      <c r="BW4" s="28">
        <v>1100</v>
      </c>
      <c r="BX4" s="28">
        <v>6</v>
      </c>
      <c r="BY4" s="28">
        <v>15</v>
      </c>
      <c r="BZ4" s="28">
        <v>30</v>
      </c>
      <c r="CA4" s="28">
        <v>100</v>
      </c>
      <c r="CB4" s="28">
        <v>45</v>
      </c>
      <c r="CC4" s="28">
        <v>1000</v>
      </c>
      <c r="CD4" s="28">
        <v>12</v>
      </c>
      <c r="CE4" s="28">
        <v>100</v>
      </c>
      <c r="CF4" s="28">
        <v>100</v>
      </c>
      <c r="CG4" s="28">
        <v>25</v>
      </c>
      <c r="CH4" s="28">
        <v>10</v>
      </c>
      <c r="CI4" s="28">
        <v>10</v>
      </c>
      <c r="CJ4" s="28">
        <v>5</v>
      </c>
      <c r="CK4" s="28">
        <v>5</v>
      </c>
      <c r="CL4" s="28">
        <v>10</v>
      </c>
      <c r="CM4" s="28">
        <v>10</v>
      </c>
      <c r="CN4" s="28">
        <v>10</v>
      </c>
      <c r="CO4" s="28">
        <v>30</v>
      </c>
      <c r="CP4" s="28">
        <v>30</v>
      </c>
      <c r="CQ4" s="28">
        <v>10</v>
      </c>
      <c r="CR4" s="28">
        <v>10</v>
      </c>
      <c r="CS4" s="28">
        <v>40</v>
      </c>
      <c r="CT4" s="28">
        <v>10</v>
      </c>
      <c r="CU4" s="28">
        <v>5</v>
      </c>
      <c r="CV4" s="28">
        <v>1</v>
      </c>
      <c r="CW4" s="28">
        <v>1</v>
      </c>
      <c r="CX4" s="28">
        <v>25</v>
      </c>
      <c r="CY4" s="28">
        <v>25</v>
      </c>
      <c r="CZ4" s="28">
        <v>20</v>
      </c>
      <c r="DA4" s="28">
        <v>5</v>
      </c>
      <c r="DB4" s="28">
        <v>5</v>
      </c>
      <c r="DC4" s="28">
        <v>5</v>
      </c>
      <c r="DD4" s="28">
        <v>15</v>
      </c>
      <c r="DE4" s="28">
        <v>15</v>
      </c>
      <c r="DF4" s="28">
        <v>35</v>
      </c>
      <c r="DG4" s="28">
        <v>5</v>
      </c>
      <c r="DH4" s="28">
        <v>5</v>
      </c>
      <c r="DI4" s="28">
        <v>25</v>
      </c>
      <c r="DJ4" s="28">
        <v>15</v>
      </c>
      <c r="DK4" s="28">
        <v>15</v>
      </c>
      <c r="DL4" s="28">
        <v>5</v>
      </c>
      <c r="DM4" s="28">
        <v>2</v>
      </c>
      <c r="DN4" s="28">
        <v>1</v>
      </c>
      <c r="DO4" s="28">
        <v>1</v>
      </c>
      <c r="DP4" s="28">
        <v>1</v>
      </c>
      <c r="DQ4" s="28">
        <v>1</v>
      </c>
      <c r="DR4" s="28">
        <v>3</v>
      </c>
      <c r="DS4" s="28">
        <v>2</v>
      </c>
      <c r="DT4" s="28">
        <v>3</v>
      </c>
      <c r="DU4" s="28">
        <v>2</v>
      </c>
      <c r="DV4" s="28">
        <v>2</v>
      </c>
      <c r="DW4" s="28">
        <v>2</v>
      </c>
      <c r="DX4" s="28">
        <v>3</v>
      </c>
      <c r="DY4" s="28">
        <v>2</v>
      </c>
      <c r="DZ4" s="28">
        <v>400</v>
      </c>
      <c r="EA4" s="28"/>
      <c r="EB4" s="28"/>
      <c r="EC4" s="28"/>
      <c r="ED4" s="28"/>
      <c r="EE4" s="28">
        <f>SUM(B4:DZ4)-EF4</f>
        <v>5495</v>
      </c>
      <c r="EF4" s="28">
        <f>SUM(G4,AR4,CU4:CW4,DM4:DY4,CD4,BX4)</f>
        <v>60</v>
      </c>
    </row>
    <row r="5" spans="1:136">
      <c r="A5" s="28" t="s">
        <v>776</v>
      </c>
      <c r="B5" s="28">
        <f>'Phase 1'!G11</f>
        <v>0</v>
      </c>
      <c r="C5" s="28">
        <f>'Phase 1'!G12</f>
        <v>0</v>
      </c>
      <c r="D5" s="28">
        <f>'Phase 1'!G13</f>
        <v>0</v>
      </c>
      <c r="E5" s="28">
        <f>'Phase 1'!G14</f>
        <v>0</v>
      </c>
      <c r="F5" s="28">
        <f>'Phase 1'!G15</f>
        <v>0</v>
      </c>
      <c r="G5" s="28">
        <f>'Phase 1'!G16</f>
        <v>0</v>
      </c>
      <c r="H5" s="28">
        <f>'Phase 1'!G17</f>
        <v>0</v>
      </c>
      <c r="I5" s="28">
        <f>'Phase 1'!G18</f>
        <v>0</v>
      </c>
      <c r="J5" s="28">
        <f>'Phase 1'!G19</f>
        <v>0</v>
      </c>
      <c r="K5" s="28">
        <f>'Phase 1'!G20</f>
        <v>0</v>
      </c>
      <c r="L5" s="28">
        <f>'Phase 1'!G21</f>
        <v>0</v>
      </c>
      <c r="M5" s="28">
        <f>'Phase 1'!G22</f>
        <v>0</v>
      </c>
      <c r="N5" s="28">
        <f>'Phase 1'!G23</f>
        <v>0</v>
      </c>
      <c r="O5" s="28">
        <f>'Phase 1'!G24</f>
        <v>0</v>
      </c>
      <c r="P5" s="28">
        <f>'Phase 1'!G25</f>
        <v>0</v>
      </c>
      <c r="Q5" s="28"/>
      <c r="R5" s="28">
        <f>'Phase 1'!G26</f>
        <v>0</v>
      </c>
      <c r="S5" s="28">
        <f>'Phase 1'!G27</f>
        <v>0</v>
      </c>
      <c r="T5" s="28">
        <f>'Phase 1'!G28</f>
        <v>0</v>
      </c>
      <c r="U5" s="28">
        <f>'Phase 1'!G29</f>
        <v>0</v>
      </c>
      <c r="V5" s="28">
        <f>'Phase 1'!G30</f>
        <v>0</v>
      </c>
      <c r="W5" s="28">
        <f>'Phase 1'!G31</f>
        <v>0</v>
      </c>
      <c r="X5" s="28">
        <f>'Phase 1'!G32</f>
        <v>0</v>
      </c>
      <c r="Y5" s="28">
        <f>'Phase 1'!G33</f>
        <v>0</v>
      </c>
      <c r="Z5" s="28">
        <f>'Phase 1'!G34</f>
        <v>0</v>
      </c>
      <c r="AA5" s="28">
        <f>'Phase 1'!G35</f>
        <v>0</v>
      </c>
      <c r="AB5" s="28">
        <f>'Phase 1'!G36</f>
        <v>0</v>
      </c>
      <c r="AC5" s="28">
        <f>'Phase 1'!G37</f>
        <v>0</v>
      </c>
      <c r="AD5" s="28">
        <f>'Phase 1'!G38</f>
        <v>0</v>
      </c>
      <c r="AE5" s="28">
        <f>'Phase 1'!G39</f>
        <v>0</v>
      </c>
      <c r="AF5" s="28">
        <f>'Phase 1'!G40</f>
        <v>0</v>
      </c>
      <c r="AG5" s="28">
        <f>'Phase 1'!G41</f>
        <v>0</v>
      </c>
      <c r="AH5" s="28">
        <f>'Phase 1'!G42</f>
        <v>0</v>
      </c>
      <c r="AI5" s="28">
        <f>'Phase 1'!G43</f>
        <v>0</v>
      </c>
      <c r="AJ5" s="28">
        <f>'Phase 1'!G44</f>
        <v>0</v>
      </c>
      <c r="AK5" s="28">
        <f>'Phase 1'!G45</f>
        <v>0</v>
      </c>
      <c r="AL5" s="28">
        <f>'Phase 1'!G46</f>
        <v>0</v>
      </c>
      <c r="AM5" s="28">
        <f>'Phase 1'!G47</f>
        <v>0</v>
      </c>
      <c r="AN5" s="28">
        <f>'Phase 1'!G48</f>
        <v>0</v>
      </c>
      <c r="AO5" s="28">
        <f>'Phase 1'!G49</f>
        <v>0</v>
      </c>
      <c r="AP5" s="28">
        <f>'Phase 1'!G50</f>
        <v>0</v>
      </c>
      <c r="AQ5" s="28">
        <f>'Phase 1'!G51</f>
        <v>0</v>
      </c>
      <c r="AR5" s="28">
        <f>'Phase 1'!G52</f>
        <v>0</v>
      </c>
      <c r="AS5" s="28">
        <f>'Phase 1'!G53</f>
        <v>0</v>
      </c>
      <c r="AT5" s="28">
        <f>'Phase 1'!G54</f>
        <v>0</v>
      </c>
      <c r="AU5" s="28">
        <f>'Phase 1'!G55</f>
        <v>0</v>
      </c>
      <c r="AV5" s="28">
        <f>'Phase 1'!G56</f>
        <v>0</v>
      </c>
      <c r="AW5" s="28">
        <f>'Phase 1'!G57</f>
        <v>0</v>
      </c>
      <c r="AX5" s="28">
        <f>'Phase 1'!G58</f>
        <v>0</v>
      </c>
      <c r="AY5" s="28">
        <f>'Phase 1'!G59</f>
        <v>0</v>
      </c>
      <c r="AZ5" s="28">
        <f>'Phase 1'!G60</f>
        <v>0</v>
      </c>
      <c r="BA5" s="28">
        <f>'Phase 1'!G61</f>
        <v>0</v>
      </c>
      <c r="BB5" s="28">
        <f>'Phase 1'!G62</f>
        <v>0</v>
      </c>
      <c r="BC5" s="28">
        <f>'Phase 1'!G63</f>
        <v>0</v>
      </c>
      <c r="BD5" s="28">
        <f>'Phase 1'!G64</f>
        <v>0</v>
      </c>
      <c r="BE5" s="28">
        <f>'Phase 1'!G65</f>
        <v>0</v>
      </c>
      <c r="BF5" s="28">
        <f>'Phase 1'!G66</f>
        <v>0</v>
      </c>
      <c r="BG5" s="28">
        <f>'Phase 1'!G67</f>
        <v>0</v>
      </c>
      <c r="BH5" s="28">
        <f>'Phase 1'!G68</f>
        <v>0</v>
      </c>
      <c r="BI5" s="28">
        <f>'Phase 1'!G69</f>
        <v>0</v>
      </c>
      <c r="BJ5" s="28">
        <f>'Phase 1'!G70</f>
        <v>0</v>
      </c>
      <c r="BK5" s="28">
        <f>'Phase 1'!G71</f>
        <v>0</v>
      </c>
      <c r="BL5" s="28">
        <f>'Phase 1'!G72</f>
        <v>0</v>
      </c>
      <c r="BM5" s="28">
        <f>'Phase 1'!G73</f>
        <v>0</v>
      </c>
      <c r="BN5" s="28">
        <f>'Phase 1'!G74</f>
        <v>0</v>
      </c>
      <c r="BO5" s="28">
        <f>'Phase 1'!G75</f>
        <v>0</v>
      </c>
      <c r="BP5" s="28">
        <f>'Phase 1'!G76</f>
        <v>0</v>
      </c>
      <c r="BQ5" s="28">
        <f>'Phase 1'!G77</f>
        <v>0</v>
      </c>
      <c r="BR5" s="28">
        <f>'Phase 1'!G78</f>
        <v>0</v>
      </c>
      <c r="BS5" s="28">
        <f>'Phase 1'!G79</f>
        <v>0</v>
      </c>
      <c r="BT5" s="28">
        <f>'Phase 1'!G80</f>
        <v>0</v>
      </c>
      <c r="BU5" s="28">
        <f>'Phase 1'!G81</f>
        <v>0</v>
      </c>
      <c r="BV5" s="28">
        <f>'Phase 1'!G82</f>
        <v>0</v>
      </c>
      <c r="BW5" s="28">
        <f>'Phase 1'!G83</f>
        <v>0</v>
      </c>
      <c r="BX5" s="28">
        <f>'Phase 1'!G84</f>
        <v>0</v>
      </c>
      <c r="BY5" s="28">
        <f>'Phase 1'!G85</f>
        <v>0</v>
      </c>
      <c r="BZ5" s="28">
        <f>'Phase 1'!G86</f>
        <v>0</v>
      </c>
      <c r="CA5" s="28">
        <f>'Phase 1'!G87</f>
        <v>0</v>
      </c>
      <c r="CB5" s="28">
        <f>'Phase 1'!G88</f>
        <v>0</v>
      </c>
      <c r="CC5" s="28">
        <f>'Phase 1'!G89</f>
        <v>0</v>
      </c>
      <c r="CD5" s="28">
        <f>'Phase 1'!G90</f>
        <v>0</v>
      </c>
      <c r="CE5" s="28">
        <f>'Phase 1'!G91</f>
        <v>0</v>
      </c>
      <c r="CF5" s="28">
        <f>'Phase 1'!G92</f>
        <v>0</v>
      </c>
      <c r="CG5" s="28">
        <f>'Phase 1'!G93</f>
        <v>0</v>
      </c>
      <c r="CH5" s="28">
        <f>'Phase 1'!G94</f>
        <v>0</v>
      </c>
      <c r="CI5" s="28">
        <f>'Phase 1'!G95</f>
        <v>0</v>
      </c>
      <c r="CJ5" s="28">
        <f>'Phase 1'!G96</f>
        <v>0</v>
      </c>
      <c r="CK5" s="28">
        <f>'Phase 1'!G97</f>
        <v>0</v>
      </c>
      <c r="CL5" s="28">
        <f>'Phase 1'!G98</f>
        <v>0</v>
      </c>
      <c r="CM5" s="28">
        <f>'Phase 1'!G99</f>
        <v>0</v>
      </c>
      <c r="CN5" s="28">
        <f>'Phase 1'!G100</f>
        <v>0</v>
      </c>
      <c r="CO5" s="28">
        <f>'Phase 1'!G101</f>
        <v>0</v>
      </c>
      <c r="CP5" s="28">
        <f>'Phase 1'!G102</f>
        <v>0</v>
      </c>
      <c r="CQ5" s="28">
        <f>'Phase 1'!G103</f>
        <v>0</v>
      </c>
      <c r="CR5" s="28">
        <f>'Phase 1'!G104</f>
        <v>0</v>
      </c>
      <c r="CS5" s="28">
        <f>'Phase 1'!G105</f>
        <v>0</v>
      </c>
      <c r="CT5" s="28">
        <f>'Phase 1'!G106</f>
        <v>0</v>
      </c>
      <c r="CU5" s="28">
        <f>'Phase 1'!G107</f>
        <v>0</v>
      </c>
      <c r="CV5" s="28">
        <f>'Phase 1'!G108</f>
        <v>0</v>
      </c>
      <c r="CW5" s="28">
        <f>'Phase 1'!G109</f>
        <v>0</v>
      </c>
      <c r="CX5" s="28">
        <f>'Phase 1'!G110</f>
        <v>0</v>
      </c>
      <c r="CY5" s="28">
        <f>'Phase 1'!G111</f>
        <v>0</v>
      </c>
      <c r="CZ5" s="28">
        <f>'Phase 1'!G112</f>
        <v>0</v>
      </c>
      <c r="DA5" s="28">
        <f>'Phase 1'!G113</f>
        <v>0</v>
      </c>
      <c r="DB5" s="28">
        <f>'Phase 1'!G114</f>
        <v>0</v>
      </c>
      <c r="DC5" s="28">
        <f>'Phase 1'!G115</f>
        <v>0</v>
      </c>
      <c r="DD5" s="28">
        <f>'Phase 1'!G116</f>
        <v>0</v>
      </c>
      <c r="DE5" s="28">
        <f>'Phase 1'!G117</f>
        <v>0</v>
      </c>
      <c r="DF5" s="28">
        <f>'Phase 1'!G118</f>
        <v>0</v>
      </c>
      <c r="DG5" s="28">
        <f>'Phase 1'!G119</f>
        <v>0</v>
      </c>
      <c r="DH5" s="28">
        <f>'Phase 1'!G120</f>
        <v>0</v>
      </c>
      <c r="DI5" s="28">
        <f>'Phase 1'!G121</f>
        <v>0</v>
      </c>
      <c r="DJ5" s="28">
        <f>'Phase 1'!G122</f>
        <v>0</v>
      </c>
      <c r="DK5" s="28">
        <f>'Phase 1'!G123</f>
        <v>0</v>
      </c>
      <c r="DL5" s="28">
        <f>'Phase 1'!G124</f>
        <v>0</v>
      </c>
      <c r="DM5" s="28">
        <f>'Phase 1'!G125</f>
        <v>0</v>
      </c>
      <c r="DN5" s="28">
        <f>'Phase 1'!G126</f>
        <v>0</v>
      </c>
      <c r="DO5" s="28">
        <f>'Phase 1'!G127</f>
        <v>0</v>
      </c>
      <c r="DP5" s="28">
        <f>'Phase 1'!G128</f>
        <v>0</v>
      </c>
      <c r="DQ5" s="28">
        <f>'Phase 1'!G129</f>
        <v>0</v>
      </c>
      <c r="DR5" s="28">
        <f>'Phase 1'!G130</f>
        <v>0</v>
      </c>
      <c r="DS5" s="28">
        <f>'Phase 1'!G131</f>
        <v>0</v>
      </c>
      <c r="DT5" s="28">
        <f>'Phase 1'!G132</f>
        <v>0</v>
      </c>
      <c r="DU5" s="28">
        <f>'Phase 1'!G133</f>
        <v>0</v>
      </c>
      <c r="DV5" s="28">
        <f>'Phase 1'!G134</f>
        <v>0</v>
      </c>
      <c r="DW5" s="28">
        <f>'Phase 1'!G135</f>
        <v>0</v>
      </c>
      <c r="DX5" s="28">
        <f>'Phase 1'!G136</f>
        <v>0</v>
      </c>
      <c r="DY5" s="28">
        <f>'Phase 1'!G137</f>
        <v>0</v>
      </c>
      <c r="DZ5" s="28">
        <f>'Phase 1'!G138</f>
        <v>0</v>
      </c>
      <c r="EA5" s="28"/>
      <c r="EB5" s="28"/>
      <c r="EC5" s="28"/>
      <c r="ED5" s="28"/>
      <c r="EE5" s="28">
        <f>SUM(B5:DZ5)-EF5</f>
        <v>0</v>
      </c>
      <c r="EF5" s="28">
        <f>SUM(G5,AR5,CU5:CW5,DM5:DY5,CD5,BX5)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I5"/>
  <sheetViews>
    <sheetView workbookViewId="0"/>
  </sheetViews>
  <sheetFormatPr defaultRowHeight="13.8"/>
  <sheetData>
    <row r="1" spans="1:243">
      <c r="A1" s="28" t="s">
        <v>774</v>
      </c>
      <c r="B1" s="28" t="s">
        <v>35</v>
      </c>
      <c r="C1" s="28" t="s">
        <v>37</v>
      </c>
      <c r="D1" s="28" t="s">
        <v>41</v>
      </c>
      <c r="E1" s="28" t="s">
        <v>43</v>
      </c>
      <c r="F1" s="28" t="s">
        <v>45</v>
      </c>
      <c r="G1" s="28" t="s">
        <v>48</v>
      </c>
      <c r="H1" s="28" t="s">
        <v>50</v>
      </c>
      <c r="I1" s="28" t="s">
        <v>52</v>
      </c>
      <c r="J1" s="28" t="s">
        <v>54</v>
      </c>
      <c r="K1" s="28" t="s">
        <v>57</v>
      </c>
      <c r="L1" s="28" t="s">
        <v>59</v>
      </c>
      <c r="M1" s="28" t="s">
        <v>62</v>
      </c>
      <c r="N1" s="28" t="s">
        <v>64</v>
      </c>
      <c r="O1" s="28" t="s">
        <v>67</v>
      </c>
      <c r="P1" s="28" t="s">
        <v>69</v>
      </c>
      <c r="Q1" s="28" t="s">
        <v>72</v>
      </c>
      <c r="R1" s="28" t="s">
        <v>74</v>
      </c>
      <c r="S1" s="28" t="s">
        <v>76</v>
      </c>
      <c r="T1" s="28" t="s">
        <v>79</v>
      </c>
      <c r="U1" s="28" t="s">
        <v>81</v>
      </c>
      <c r="V1" s="28" t="s">
        <v>83</v>
      </c>
      <c r="W1" s="28" t="s">
        <v>85</v>
      </c>
      <c r="X1" s="28" t="s">
        <v>87</v>
      </c>
      <c r="Y1" s="28" t="s">
        <v>90</v>
      </c>
      <c r="Z1" s="28" t="s">
        <v>92</v>
      </c>
      <c r="AA1" s="28" t="s">
        <v>94</v>
      </c>
      <c r="AB1" s="28" t="s">
        <v>96</v>
      </c>
      <c r="AC1" s="28" t="s">
        <v>99</v>
      </c>
      <c r="AD1" s="28" t="s">
        <v>101</v>
      </c>
      <c r="AE1" s="28" t="s">
        <v>103</v>
      </c>
      <c r="AF1" s="28" t="s">
        <v>106</v>
      </c>
      <c r="AG1" s="28" t="s">
        <v>108</v>
      </c>
      <c r="AH1" s="28" t="s">
        <v>110</v>
      </c>
      <c r="AI1" s="28" t="s">
        <v>113</v>
      </c>
      <c r="AJ1" s="28" t="s">
        <v>115</v>
      </c>
      <c r="AK1" s="28" t="s">
        <v>116</v>
      </c>
      <c r="AL1" s="28" t="s">
        <v>119</v>
      </c>
      <c r="AM1" s="28" t="s">
        <v>121</v>
      </c>
      <c r="AN1" s="28" t="s">
        <v>123</v>
      </c>
      <c r="AO1" s="28" t="s">
        <v>126</v>
      </c>
      <c r="AP1" s="28" t="s">
        <v>128</v>
      </c>
      <c r="AQ1" s="28" t="s">
        <v>131</v>
      </c>
      <c r="AR1" s="28" t="s">
        <v>133</v>
      </c>
      <c r="AS1" s="28" t="s">
        <v>135</v>
      </c>
      <c r="AT1" s="28" t="s">
        <v>138</v>
      </c>
      <c r="AU1" s="28" t="s">
        <v>140</v>
      </c>
      <c r="AV1" s="28" t="s">
        <v>143</v>
      </c>
      <c r="AW1" s="28" t="s">
        <v>145</v>
      </c>
      <c r="AX1" s="28" t="s">
        <v>148</v>
      </c>
      <c r="AY1" s="28" t="s">
        <v>150</v>
      </c>
      <c r="AZ1" s="28" t="s">
        <v>153</v>
      </c>
      <c r="BA1" s="28" t="s">
        <v>226</v>
      </c>
      <c r="BB1" s="28" t="s">
        <v>229</v>
      </c>
      <c r="BC1" s="28" t="s">
        <v>231</v>
      </c>
      <c r="BD1" s="28" t="s">
        <v>233</v>
      </c>
      <c r="BE1" s="28" t="s">
        <v>236</v>
      </c>
      <c r="BF1" s="28" t="s">
        <v>238</v>
      </c>
      <c r="BG1" s="28" t="s">
        <v>240</v>
      </c>
      <c r="BH1" s="28" t="s">
        <v>243</v>
      </c>
      <c r="BI1" s="28" t="s">
        <v>245</v>
      </c>
      <c r="BJ1" s="28" t="s">
        <v>247</v>
      </c>
      <c r="BK1" s="28" t="s">
        <v>249</v>
      </c>
      <c r="BL1" s="28" t="s">
        <v>251</v>
      </c>
      <c r="BM1" s="28" t="s">
        <v>253</v>
      </c>
      <c r="BN1" s="28" t="s">
        <v>255</v>
      </c>
      <c r="BO1" s="28" t="s">
        <v>256</v>
      </c>
      <c r="BP1" s="28" t="s">
        <v>259</v>
      </c>
      <c r="BQ1" s="28" t="s">
        <v>261</v>
      </c>
      <c r="BR1" s="28" t="s">
        <v>263</v>
      </c>
      <c r="BS1" s="28" t="s">
        <v>266</v>
      </c>
      <c r="BT1" s="28" t="s">
        <v>268</v>
      </c>
      <c r="BU1" s="28" t="s">
        <v>270</v>
      </c>
      <c r="BV1" s="28" t="s">
        <v>272</v>
      </c>
      <c r="BW1" s="28" t="s">
        <v>276</v>
      </c>
      <c r="BX1" s="28" t="s">
        <v>278</v>
      </c>
      <c r="BY1" s="28" t="s">
        <v>281</v>
      </c>
      <c r="BZ1" s="28" t="s">
        <v>282</v>
      </c>
      <c r="CA1" s="28" t="s">
        <v>286</v>
      </c>
      <c r="CB1" s="28" t="s">
        <v>288</v>
      </c>
      <c r="CC1" s="28" t="s">
        <v>290</v>
      </c>
      <c r="CD1" s="28" t="s">
        <v>292</v>
      </c>
      <c r="CE1" s="28" t="s">
        <v>295</v>
      </c>
      <c r="CF1" s="28" t="s">
        <v>296</v>
      </c>
      <c r="CG1" s="28" t="s">
        <v>298</v>
      </c>
      <c r="CH1" s="28" t="s">
        <v>301</v>
      </c>
      <c r="CI1" s="28" t="s">
        <v>303</v>
      </c>
      <c r="CJ1" s="28" t="s">
        <v>306</v>
      </c>
      <c r="CK1" s="28" t="s">
        <v>308</v>
      </c>
      <c r="CL1" s="28" t="s">
        <v>310</v>
      </c>
      <c r="CM1" s="28" t="s">
        <v>312</v>
      </c>
      <c r="CN1" s="28" t="s">
        <v>314</v>
      </c>
      <c r="CO1" s="28" t="s">
        <v>317</v>
      </c>
      <c r="CP1" s="28" t="s">
        <v>319</v>
      </c>
      <c r="CQ1" s="28" t="s">
        <v>321</v>
      </c>
      <c r="CR1" s="28" t="s">
        <v>325</v>
      </c>
      <c r="CS1" s="28" t="s">
        <v>327</v>
      </c>
      <c r="CT1" s="28" t="s">
        <v>329</v>
      </c>
      <c r="CU1" s="28" t="s">
        <v>332</v>
      </c>
      <c r="CV1" s="28" t="s">
        <v>334</v>
      </c>
      <c r="CW1" s="28" t="s">
        <v>336</v>
      </c>
      <c r="CX1" s="28" t="s">
        <v>340</v>
      </c>
      <c r="CY1" s="28" t="s">
        <v>342</v>
      </c>
      <c r="CZ1" s="28" t="s">
        <v>344</v>
      </c>
      <c r="DA1" s="28" t="s">
        <v>346</v>
      </c>
      <c r="DB1" s="28" t="s">
        <v>348</v>
      </c>
      <c r="DC1" s="28" t="s">
        <v>350</v>
      </c>
      <c r="DD1" s="28" t="s">
        <v>352</v>
      </c>
      <c r="DE1" s="28" t="s">
        <v>354</v>
      </c>
      <c r="DF1" s="28" t="s">
        <v>356</v>
      </c>
      <c r="DG1" s="28" t="s">
        <v>357</v>
      </c>
      <c r="DH1" s="28" t="s">
        <v>358</v>
      </c>
      <c r="DI1" s="28" t="s">
        <v>360</v>
      </c>
      <c r="DJ1" s="28" t="s">
        <v>362</v>
      </c>
      <c r="DK1" s="28" t="s">
        <v>363</v>
      </c>
      <c r="DL1" s="28" t="s">
        <v>364</v>
      </c>
      <c r="DM1" s="28" t="s">
        <v>367</v>
      </c>
      <c r="DN1" s="28" t="s">
        <v>369</v>
      </c>
      <c r="DO1" s="28" t="s">
        <v>371</v>
      </c>
      <c r="DP1" s="28" t="s">
        <v>373</v>
      </c>
      <c r="DQ1" s="28" t="s">
        <v>375</v>
      </c>
      <c r="DR1" s="28" t="s">
        <v>376</v>
      </c>
      <c r="DS1" s="28" t="s">
        <v>377</v>
      </c>
      <c r="DT1" s="28" t="s">
        <v>378</v>
      </c>
      <c r="DU1" s="28" t="s">
        <v>381</v>
      </c>
      <c r="DV1" s="28" t="s">
        <v>383</v>
      </c>
      <c r="DW1" s="28" t="s">
        <v>385</v>
      </c>
      <c r="DX1" s="28" t="s">
        <v>386</v>
      </c>
      <c r="DY1" s="28" t="s">
        <v>388</v>
      </c>
      <c r="DZ1" s="28" t="s">
        <v>392</v>
      </c>
      <c r="EA1" s="28" t="s">
        <v>555</v>
      </c>
      <c r="EB1" s="28" t="s">
        <v>557</v>
      </c>
      <c r="EC1" s="28" t="s">
        <v>559</v>
      </c>
      <c r="ED1" s="28" t="s">
        <v>561</v>
      </c>
      <c r="EE1" s="28" t="s">
        <v>563</v>
      </c>
      <c r="EF1" s="28" t="s">
        <v>567</v>
      </c>
      <c r="EG1" s="28" t="s">
        <v>570</v>
      </c>
      <c r="EH1" s="28" t="s">
        <v>572</v>
      </c>
      <c r="EI1" s="28" t="s">
        <v>574</v>
      </c>
      <c r="EJ1" s="28" t="s">
        <v>577</v>
      </c>
      <c r="EK1" s="28" t="s">
        <v>579</v>
      </c>
      <c r="EL1" s="28" t="s">
        <v>581</v>
      </c>
      <c r="EM1" s="28" t="s">
        <v>583</v>
      </c>
      <c r="EN1" s="28" t="s">
        <v>586</v>
      </c>
      <c r="EO1" s="28" t="s">
        <v>588</v>
      </c>
      <c r="EP1" s="28" t="s">
        <v>591</v>
      </c>
      <c r="EQ1" s="28" t="s">
        <v>593</v>
      </c>
      <c r="ER1" s="28" t="s">
        <v>595</v>
      </c>
      <c r="ES1" s="28" t="s">
        <v>597</v>
      </c>
      <c r="ET1" s="28" t="s">
        <v>600</v>
      </c>
      <c r="EU1" s="28" t="s">
        <v>602</v>
      </c>
      <c r="EV1" s="28" t="s">
        <v>604</v>
      </c>
      <c r="EW1" s="28" t="s">
        <v>606</v>
      </c>
      <c r="EX1" s="28" t="s">
        <v>608</v>
      </c>
      <c r="EY1" s="28" t="s">
        <v>610</v>
      </c>
      <c r="EZ1" s="28" t="s">
        <v>612</v>
      </c>
      <c r="FA1" s="28" t="s">
        <v>614</v>
      </c>
      <c r="FB1" s="28" t="s">
        <v>616</v>
      </c>
      <c r="FC1" s="28" t="s">
        <v>618</v>
      </c>
      <c r="FD1" s="28" t="s">
        <v>621</v>
      </c>
      <c r="FE1" s="28" t="s">
        <v>623</v>
      </c>
      <c r="FF1" s="28" t="s">
        <v>625</v>
      </c>
      <c r="FG1" s="28" t="s">
        <v>628</v>
      </c>
      <c r="FH1" s="28" t="s">
        <v>630</v>
      </c>
      <c r="FI1" s="28" t="s">
        <v>632</v>
      </c>
      <c r="FJ1" s="28" t="s">
        <v>634</v>
      </c>
      <c r="FK1" s="28" t="s">
        <v>636</v>
      </c>
      <c r="FL1" s="28" t="s">
        <v>638</v>
      </c>
      <c r="FM1" s="28" t="s">
        <v>640</v>
      </c>
      <c r="FN1" s="28" t="s">
        <v>642</v>
      </c>
      <c r="FO1" s="28" t="s">
        <v>644</v>
      </c>
      <c r="FP1" s="28" t="s">
        <v>646</v>
      </c>
      <c r="FQ1" s="28" t="s">
        <v>649</v>
      </c>
      <c r="FR1" s="28" t="s">
        <v>651</v>
      </c>
      <c r="FS1" s="28" t="s">
        <v>653</v>
      </c>
      <c r="FT1" s="28" t="s">
        <v>655</v>
      </c>
      <c r="FU1" s="28" t="s">
        <v>658</v>
      </c>
      <c r="FV1" s="28" t="s">
        <v>659</v>
      </c>
      <c r="FW1" s="28" t="s">
        <v>661</v>
      </c>
      <c r="FX1" s="28" t="s">
        <v>663</v>
      </c>
      <c r="FY1" s="28" t="s">
        <v>665</v>
      </c>
      <c r="FZ1" s="28" t="s">
        <v>667</v>
      </c>
      <c r="GA1" s="28" t="s">
        <v>669</v>
      </c>
      <c r="GB1" s="28" t="s">
        <v>670</v>
      </c>
      <c r="GC1" s="28" t="s">
        <v>673</v>
      </c>
      <c r="GD1" s="28" t="s">
        <v>675</v>
      </c>
      <c r="GE1" s="28" t="s">
        <v>677</v>
      </c>
      <c r="GF1" s="28" t="s">
        <v>679</v>
      </c>
      <c r="GG1" s="28" t="s">
        <v>681</v>
      </c>
      <c r="GH1" s="28" t="s">
        <v>683</v>
      </c>
      <c r="GI1" s="28" t="s">
        <v>685</v>
      </c>
      <c r="GJ1" s="28" t="s">
        <v>686</v>
      </c>
      <c r="GK1" s="28" t="s">
        <v>688</v>
      </c>
      <c r="GL1" s="28" t="s">
        <v>690</v>
      </c>
      <c r="GM1" s="28" t="s">
        <v>692</v>
      </c>
      <c r="GN1" s="28" t="s">
        <v>694</v>
      </c>
      <c r="GO1" s="28" t="s">
        <v>697</v>
      </c>
      <c r="GP1" s="28" t="s">
        <v>698</v>
      </c>
      <c r="GQ1" s="28" t="s">
        <v>701</v>
      </c>
      <c r="GR1" s="28" t="s">
        <v>703</v>
      </c>
      <c r="GS1" s="28" t="s">
        <v>705</v>
      </c>
      <c r="GT1" s="28" t="s">
        <v>707</v>
      </c>
      <c r="GU1" s="28" t="s">
        <v>709</v>
      </c>
      <c r="GV1" s="28" t="s">
        <v>712</v>
      </c>
      <c r="GW1" s="28" t="s">
        <v>715</v>
      </c>
      <c r="GX1" s="28" t="s">
        <v>717</v>
      </c>
      <c r="GY1" s="28" t="s">
        <v>719</v>
      </c>
      <c r="GZ1" s="28" t="s">
        <v>721</v>
      </c>
      <c r="HA1" s="28" t="s">
        <v>723</v>
      </c>
      <c r="HB1" s="28" t="s">
        <v>725</v>
      </c>
      <c r="HC1" s="28" t="s">
        <v>728</v>
      </c>
      <c r="HD1" s="28" t="s">
        <v>730</v>
      </c>
      <c r="HE1" s="28" t="s">
        <v>732</v>
      </c>
      <c r="HF1" s="28" t="s">
        <v>733</v>
      </c>
      <c r="HG1" s="28" t="s">
        <v>735</v>
      </c>
      <c r="HH1" s="28" t="s">
        <v>737</v>
      </c>
      <c r="HI1" s="28" t="s">
        <v>739</v>
      </c>
      <c r="HJ1" s="28" t="s">
        <v>742</v>
      </c>
      <c r="HK1" s="28" t="s">
        <v>744</v>
      </c>
      <c r="HL1" s="28" t="s">
        <v>746</v>
      </c>
      <c r="HM1" s="28" t="s">
        <v>748</v>
      </c>
      <c r="HN1" s="28" t="s">
        <v>749</v>
      </c>
      <c r="HO1" s="28" t="s">
        <v>750</v>
      </c>
      <c r="HP1" s="28" t="s">
        <v>753</v>
      </c>
      <c r="HQ1" s="28" t="s">
        <v>755</v>
      </c>
      <c r="HR1" s="28" t="s">
        <v>756</v>
      </c>
      <c r="HS1" s="28" t="s">
        <v>758</v>
      </c>
      <c r="HT1" s="28" t="s">
        <v>759</v>
      </c>
      <c r="HU1" s="28" t="s">
        <v>761</v>
      </c>
      <c r="HV1" s="28" t="s">
        <v>763</v>
      </c>
      <c r="HW1" s="28" t="s">
        <v>766</v>
      </c>
      <c r="HX1" s="28" t="s">
        <v>768</v>
      </c>
      <c r="HY1" s="28" t="s">
        <v>769</v>
      </c>
      <c r="HZ1" s="28" t="s">
        <v>771</v>
      </c>
      <c r="IA1" s="28" t="s">
        <v>773</v>
      </c>
      <c r="IB1" s="28" t="s">
        <v>777</v>
      </c>
      <c r="IC1" s="28" t="s">
        <v>778</v>
      </c>
      <c r="ID1" s="28" t="s">
        <v>779</v>
      </c>
      <c r="IE1" s="28" t="s">
        <v>780</v>
      </c>
      <c r="IF1" s="28" t="s">
        <v>781</v>
      </c>
      <c r="IG1" s="28" t="s">
        <v>782</v>
      </c>
      <c r="IH1" s="28" t="s">
        <v>783</v>
      </c>
      <c r="II1" s="28" t="s">
        <v>784</v>
      </c>
    </row>
    <row r="2" spans="1:24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  <c r="HW2" s="28"/>
      <c r="HX2" s="28"/>
      <c r="HY2" s="28"/>
      <c r="HZ2" s="28"/>
      <c r="IA2" s="28"/>
      <c r="IB2" s="28"/>
      <c r="IC2" s="28"/>
      <c r="ID2" s="28"/>
      <c r="IE2" s="28"/>
      <c r="IF2" s="28"/>
      <c r="IG2" s="28"/>
      <c r="IH2" s="28"/>
      <c r="II2" s="28"/>
    </row>
    <row r="3" spans="1:24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</row>
    <row r="4" spans="1:243">
      <c r="A4" s="28" t="s">
        <v>775</v>
      </c>
      <c r="B4" s="28">
        <v>5</v>
      </c>
      <c r="C4" s="28">
        <v>0</v>
      </c>
      <c r="D4" s="28">
        <v>25</v>
      </c>
      <c r="E4" s="28">
        <v>5</v>
      </c>
      <c r="F4" s="28">
        <v>10</v>
      </c>
      <c r="G4" s="28">
        <v>15</v>
      </c>
      <c r="H4" s="28">
        <v>10</v>
      </c>
      <c r="I4" s="28">
        <v>15</v>
      </c>
      <c r="J4" s="28">
        <v>20</v>
      </c>
      <c r="K4" s="28">
        <v>10</v>
      </c>
      <c r="L4" s="28">
        <v>5</v>
      </c>
      <c r="M4" s="28">
        <v>10</v>
      </c>
      <c r="N4" s="28">
        <v>10</v>
      </c>
      <c r="O4" s="28">
        <v>30</v>
      </c>
      <c r="P4" s="28">
        <v>10</v>
      </c>
      <c r="Q4" s="28">
        <v>40</v>
      </c>
      <c r="R4" s="28">
        <v>30</v>
      </c>
      <c r="S4" s="28">
        <v>25</v>
      </c>
      <c r="T4" s="28">
        <v>50</v>
      </c>
      <c r="U4" s="28">
        <v>50</v>
      </c>
      <c r="V4" s="28">
        <v>50</v>
      </c>
      <c r="W4" s="28">
        <v>50</v>
      </c>
      <c r="X4" s="28">
        <v>20</v>
      </c>
      <c r="Y4" s="28">
        <v>20</v>
      </c>
      <c r="Z4" s="28">
        <v>10</v>
      </c>
      <c r="AA4" s="28">
        <v>30</v>
      </c>
      <c r="AB4" s="28">
        <v>15</v>
      </c>
      <c r="AC4" s="28">
        <v>25</v>
      </c>
      <c r="AD4" s="28">
        <v>10</v>
      </c>
      <c r="AE4" s="28">
        <v>10</v>
      </c>
      <c r="AF4" s="28">
        <v>25</v>
      </c>
      <c r="AG4" s="28">
        <v>15</v>
      </c>
      <c r="AH4" s="28">
        <v>25</v>
      </c>
      <c r="AI4" s="28">
        <v>30</v>
      </c>
      <c r="AJ4" s="28">
        <v>15</v>
      </c>
      <c r="AK4" s="28">
        <v>40</v>
      </c>
      <c r="AL4" s="28">
        <v>20</v>
      </c>
      <c r="AM4" s="28">
        <v>20</v>
      </c>
      <c r="AN4" s="28">
        <v>20</v>
      </c>
      <c r="AO4" s="28">
        <v>25</v>
      </c>
      <c r="AP4" s="28">
        <v>30</v>
      </c>
      <c r="AQ4" s="28">
        <v>35</v>
      </c>
      <c r="AR4" s="28">
        <v>35</v>
      </c>
      <c r="AS4" s="28">
        <v>20</v>
      </c>
      <c r="AT4" s="28">
        <v>15</v>
      </c>
      <c r="AU4" s="28">
        <v>15</v>
      </c>
      <c r="AV4" s="28">
        <v>15</v>
      </c>
      <c r="AW4" s="28">
        <v>50</v>
      </c>
      <c r="AX4" s="28">
        <v>25</v>
      </c>
      <c r="AY4" s="28">
        <v>25</v>
      </c>
      <c r="AZ4" s="28">
        <v>25</v>
      </c>
      <c r="BA4" s="28">
        <v>15</v>
      </c>
      <c r="BB4" s="28">
        <v>15</v>
      </c>
      <c r="BC4" s="28">
        <v>15</v>
      </c>
      <c r="BD4" s="28">
        <v>10</v>
      </c>
      <c r="BE4" s="28">
        <v>15</v>
      </c>
      <c r="BF4" s="28">
        <v>20</v>
      </c>
      <c r="BG4" s="28">
        <v>15</v>
      </c>
      <c r="BH4" s="28">
        <v>15</v>
      </c>
      <c r="BI4" s="28">
        <v>15</v>
      </c>
      <c r="BJ4" s="28">
        <v>40</v>
      </c>
      <c r="BK4" s="28">
        <v>15</v>
      </c>
      <c r="BL4" s="28">
        <v>15</v>
      </c>
      <c r="BM4" s="28">
        <v>20</v>
      </c>
      <c r="BN4" s="28">
        <v>100</v>
      </c>
      <c r="BO4" s="28">
        <v>40</v>
      </c>
      <c r="BP4" s="28">
        <v>5</v>
      </c>
      <c r="BQ4" s="28">
        <v>25</v>
      </c>
      <c r="BR4" s="28">
        <v>25</v>
      </c>
      <c r="BS4" s="28">
        <v>5</v>
      </c>
      <c r="BT4" s="28">
        <v>25</v>
      </c>
      <c r="BU4" s="28">
        <v>25</v>
      </c>
      <c r="BV4" s="28">
        <v>25</v>
      </c>
      <c r="BW4" s="28">
        <v>25</v>
      </c>
      <c r="BX4" s="28">
        <v>60</v>
      </c>
      <c r="BY4" s="28">
        <v>50</v>
      </c>
      <c r="BZ4" s="28">
        <v>50</v>
      </c>
      <c r="CA4" s="28">
        <v>20</v>
      </c>
      <c r="CB4" s="28">
        <v>250</v>
      </c>
      <c r="CC4" s="28">
        <v>25</v>
      </c>
      <c r="CD4" s="28">
        <v>60</v>
      </c>
      <c r="CE4" s="28">
        <v>35</v>
      </c>
      <c r="CF4" s="28">
        <v>200</v>
      </c>
      <c r="CG4" s="28">
        <v>50</v>
      </c>
      <c r="CH4" s="28">
        <v>50</v>
      </c>
      <c r="CI4" s="28">
        <v>125</v>
      </c>
      <c r="CJ4" s="28">
        <v>75</v>
      </c>
      <c r="CK4" s="28">
        <v>100</v>
      </c>
      <c r="CL4" s="28">
        <v>25</v>
      </c>
      <c r="CM4" s="28">
        <v>25</v>
      </c>
      <c r="CN4" s="28">
        <v>30</v>
      </c>
      <c r="CO4" s="28">
        <v>35</v>
      </c>
      <c r="CP4" s="28">
        <v>25</v>
      </c>
      <c r="CQ4" s="28">
        <v>25</v>
      </c>
      <c r="CR4" s="28">
        <v>20</v>
      </c>
      <c r="CS4" s="28">
        <v>15</v>
      </c>
      <c r="CT4" s="28">
        <v>15</v>
      </c>
      <c r="CU4" s="28">
        <v>25</v>
      </c>
      <c r="CV4" s="28">
        <v>20</v>
      </c>
      <c r="CW4" s="28">
        <v>15</v>
      </c>
      <c r="CX4" s="28">
        <v>20</v>
      </c>
      <c r="CY4" s="28">
        <v>25</v>
      </c>
      <c r="CZ4" s="28">
        <v>15</v>
      </c>
      <c r="DA4" s="28">
        <v>20</v>
      </c>
      <c r="DB4" s="28">
        <v>25</v>
      </c>
      <c r="DC4" s="28">
        <v>20</v>
      </c>
      <c r="DD4" s="28">
        <v>20</v>
      </c>
      <c r="DE4" s="28">
        <v>15</v>
      </c>
      <c r="DF4" s="28">
        <v>50</v>
      </c>
      <c r="DG4" s="28">
        <v>20</v>
      </c>
      <c r="DH4" s="28">
        <v>15</v>
      </c>
      <c r="DI4" s="28">
        <v>20</v>
      </c>
      <c r="DJ4" s="28">
        <v>15</v>
      </c>
      <c r="DK4" s="28">
        <v>10</v>
      </c>
      <c r="DL4" s="28">
        <v>35</v>
      </c>
      <c r="DM4" s="28">
        <v>20</v>
      </c>
      <c r="DN4" s="28">
        <v>10</v>
      </c>
      <c r="DO4" s="28">
        <v>10</v>
      </c>
      <c r="DP4" s="28">
        <v>20</v>
      </c>
      <c r="DQ4" s="28">
        <v>5</v>
      </c>
      <c r="DR4" s="28">
        <v>20</v>
      </c>
      <c r="DS4" s="28">
        <v>25</v>
      </c>
      <c r="DT4" s="28">
        <v>30</v>
      </c>
      <c r="DU4" s="28">
        <v>25</v>
      </c>
      <c r="DV4" s="28">
        <v>35</v>
      </c>
      <c r="DW4" s="28">
        <v>25</v>
      </c>
      <c r="DX4" s="28">
        <v>25</v>
      </c>
      <c r="DY4" s="28">
        <v>10</v>
      </c>
      <c r="DZ4" s="28">
        <v>30</v>
      </c>
      <c r="EA4" s="28">
        <v>50</v>
      </c>
      <c r="EB4" s="28">
        <v>25</v>
      </c>
      <c r="EC4" s="28">
        <v>25</v>
      </c>
      <c r="ED4" s="28">
        <v>30</v>
      </c>
      <c r="EE4" s="28">
        <v>20</v>
      </c>
      <c r="EF4" s="28">
        <v>25</v>
      </c>
      <c r="EG4" s="28">
        <v>25</v>
      </c>
      <c r="EH4" s="28">
        <v>10</v>
      </c>
      <c r="EI4" s="28">
        <v>25</v>
      </c>
      <c r="EJ4" s="28">
        <v>50</v>
      </c>
      <c r="EK4" s="28">
        <v>20</v>
      </c>
      <c r="EL4" s="28">
        <v>10</v>
      </c>
      <c r="EM4" s="28">
        <v>15</v>
      </c>
      <c r="EN4" s="28">
        <v>25</v>
      </c>
      <c r="EO4" s="28">
        <v>15</v>
      </c>
      <c r="EP4" s="28">
        <v>15</v>
      </c>
      <c r="EQ4" s="28">
        <v>25</v>
      </c>
      <c r="ER4" s="28">
        <v>100</v>
      </c>
      <c r="ES4" s="28">
        <v>40</v>
      </c>
      <c r="ET4" s="28">
        <v>100</v>
      </c>
      <c r="EU4" s="28">
        <v>75</v>
      </c>
      <c r="EV4" s="28">
        <v>125</v>
      </c>
      <c r="EW4" s="28">
        <v>20</v>
      </c>
      <c r="EX4" s="28">
        <v>15</v>
      </c>
      <c r="EY4" s="28">
        <v>15</v>
      </c>
      <c r="EZ4" s="28">
        <v>15</v>
      </c>
      <c r="FA4" s="28">
        <v>15</v>
      </c>
      <c r="FB4" s="28">
        <v>15</v>
      </c>
      <c r="FC4" s="28">
        <v>30</v>
      </c>
      <c r="FD4" s="28">
        <v>15</v>
      </c>
      <c r="FE4" s="28">
        <v>35</v>
      </c>
      <c r="FF4" s="28">
        <v>25</v>
      </c>
      <c r="FG4" s="28">
        <v>40</v>
      </c>
      <c r="FH4" s="28">
        <v>40</v>
      </c>
      <c r="FI4" s="28">
        <v>25</v>
      </c>
      <c r="FJ4" s="28">
        <v>15</v>
      </c>
      <c r="FK4" s="28">
        <v>30</v>
      </c>
      <c r="FL4" s="28">
        <v>25</v>
      </c>
      <c r="FM4" s="28">
        <v>100</v>
      </c>
      <c r="FN4" s="28">
        <v>75</v>
      </c>
      <c r="FO4" s="28">
        <v>20</v>
      </c>
      <c r="FP4" s="28">
        <v>50</v>
      </c>
      <c r="FQ4" s="28">
        <v>15</v>
      </c>
      <c r="FR4" s="28">
        <v>15</v>
      </c>
      <c r="FS4" s="28">
        <v>35</v>
      </c>
      <c r="FT4" s="28">
        <v>10</v>
      </c>
      <c r="FU4" s="28">
        <v>125</v>
      </c>
      <c r="FV4" s="28">
        <v>35</v>
      </c>
      <c r="FW4" s="28">
        <v>30</v>
      </c>
      <c r="FX4" s="28">
        <v>35</v>
      </c>
      <c r="FY4" s="28">
        <v>50</v>
      </c>
      <c r="FZ4" s="28">
        <v>30</v>
      </c>
      <c r="GA4" s="28">
        <v>25</v>
      </c>
      <c r="GB4" s="28">
        <v>250</v>
      </c>
      <c r="GC4" s="28">
        <v>60</v>
      </c>
      <c r="GD4" s="28">
        <v>15</v>
      </c>
      <c r="GE4" s="28">
        <v>25</v>
      </c>
      <c r="GF4" s="28">
        <v>25</v>
      </c>
      <c r="GG4" s="28">
        <v>25</v>
      </c>
      <c r="GH4" s="28">
        <v>25</v>
      </c>
      <c r="GI4" s="28">
        <v>25</v>
      </c>
      <c r="GJ4" s="28">
        <v>150</v>
      </c>
      <c r="GK4" s="28">
        <v>60</v>
      </c>
      <c r="GL4" s="28">
        <v>175</v>
      </c>
      <c r="GM4" s="28">
        <v>35</v>
      </c>
      <c r="GN4" s="28">
        <v>50</v>
      </c>
      <c r="GO4" s="28">
        <v>55</v>
      </c>
      <c r="GP4" s="28">
        <v>30</v>
      </c>
      <c r="GQ4" s="28">
        <v>20</v>
      </c>
      <c r="GR4" s="28">
        <v>30</v>
      </c>
      <c r="GS4" s="28">
        <v>5</v>
      </c>
      <c r="GT4" s="28">
        <v>20</v>
      </c>
      <c r="GU4" s="28">
        <v>25</v>
      </c>
      <c r="GV4" s="28">
        <v>80</v>
      </c>
      <c r="GW4" s="28">
        <v>5</v>
      </c>
      <c r="GX4" s="28">
        <v>20</v>
      </c>
      <c r="GY4" s="28">
        <v>15</v>
      </c>
      <c r="GZ4" s="28">
        <v>25</v>
      </c>
      <c r="HA4" s="28">
        <v>30</v>
      </c>
      <c r="HB4" s="28">
        <v>25</v>
      </c>
      <c r="HC4" s="28">
        <v>30</v>
      </c>
      <c r="HD4" s="28">
        <v>40</v>
      </c>
      <c r="HE4" s="28">
        <v>10</v>
      </c>
      <c r="HF4" s="28">
        <v>15</v>
      </c>
      <c r="HG4" s="28">
        <v>15</v>
      </c>
      <c r="HH4" s="28">
        <v>15</v>
      </c>
      <c r="HI4" s="28">
        <v>15</v>
      </c>
      <c r="HJ4" s="28">
        <v>25</v>
      </c>
      <c r="HK4" s="28">
        <v>20</v>
      </c>
      <c r="HL4" s="28">
        <v>15</v>
      </c>
      <c r="HM4" s="28">
        <v>15</v>
      </c>
      <c r="HN4" s="28">
        <v>15</v>
      </c>
      <c r="HO4" s="28">
        <v>15</v>
      </c>
      <c r="HP4" s="28">
        <v>15</v>
      </c>
      <c r="HQ4" s="28">
        <v>15</v>
      </c>
      <c r="HR4" s="28">
        <v>25</v>
      </c>
      <c r="HS4" s="28">
        <v>15</v>
      </c>
      <c r="HT4" s="28">
        <v>15</v>
      </c>
      <c r="HU4" s="28">
        <v>15</v>
      </c>
      <c r="HV4" s="28">
        <v>15</v>
      </c>
      <c r="HW4" s="28">
        <v>15</v>
      </c>
      <c r="HX4" s="28">
        <v>30</v>
      </c>
      <c r="HY4" s="28">
        <v>15</v>
      </c>
      <c r="HZ4" s="28">
        <v>15</v>
      </c>
      <c r="IA4" s="28">
        <v>15</v>
      </c>
      <c r="IB4" s="28"/>
      <c r="IC4" s="28"/>
      <c r="ID4" s="28"/>
      <c r="IE4" s="28"/>
      <c r="IF4" s="28">
        <f>SUM(E4:EO4)</f>
        <v>4045</v>
      </c>
      <c r="IG4" s="28">
        <f>SUM(EP4:GN4)</f>
        <v>2425</v>
      </c>
      <c r="IH4" s="28">
        <f>IF4</f>
        <v>4045</v>
      </c>
      <c r="II4" s="28">
        <f>SUM(GO4:IA4)</f>
        <v>835</v>
      </c>
    </row>
    <row r="5" spans="1:243">
      <c r="A5" s="28" t="s">
        <v>776</v>
      </c>
      <c r="B5" s="28">
        <f>'Phase 2'!G11</f>
        <v>5</v>
      </c>
      <c r="C5" s="28">
        <f>'Phase 2'!G12</f>
        <v>0</v>
      </c>
      <c r="D5" s="28">
        <f>'Phase 2'!G13</f>
        <v>25</v>
      </c>
      <c r="E5" s="28">
        <f>'Phase 2'!G14</f>
        <v>5</v>
      </c>
      <c r="F5" s="28">
        <f>'Phase 2'!G15</f>
        <v>10</v>
      </c>
      <c r="G5" s="28">
        <f>'Phase 2'!G16</f>
        <v>15</v>
      </c>
      <c r="H5" s="28">
        <f>'Phase 2'!G17</f>
        <v>10</v>
      </c>
      <c r="I5" s="28">
        <f>'Phase 2'!G18</f>
        <v>15</v>
      </c>
      <c r="J5" s="28">
        <f>'Phase 2'!G19</f>
        <v>20</v>
      </c>
      <c r="K5" s="28">
        <f>'Phase 2'!G20</f>
        <v>10</v>
      </c>
      <c r="L5" s="28">
        <f>'Phase 2'!G21</f>
        <v>5</v>
      </c>
      <c r="M5" s="28">
        <f>'Phase 2'!G22</f>
        <v>10</v>
      </c>
      <c r="N5" s="28">
        <f>'Phase 2'!G23</f>
        <v>10</v>
      </c>
      <c r="O5" s="28">
        <f>'Phase 2'!G24</f>
        <v>30</v>
      </c>
      <c r="P5" s="28">
        <f>'Phase 2'!G25</f>
        <v>10</v>
      </c>
      <c r="Q5" s="28">
        <f>'Phase 2'!G26</f>
        <v>40</v>
      </c>
      <c r="R5" s="28">
        <f>'Phase 2'!G27</f>
        <v>30</v>
      </c>
      <c r="S5" s="28">
        <f>'Phase 2'!G28</f>
        <v>25</v>
      </c>
      <c r="T5" s="28">
        <f>'Phase 2'!G29</f>
        <v>50</v>
      </c>
      <c r="U5" s="28">
        <f>'Phase 2'!G30</f>
        <v>50</v>
      </c>
      <c r="V5" s="28">
        <f>'Phase 2'!G31</f>
        <v>50</v>
      </c>
      <c r="W5" s="28">
        <f>'Phase 2'!G32</f>
        <v>50</v>
      </c>
      <c r="X5" s="28">
        <f>'Phase 2'!G33</f>
        <v>20</v>
      </c>
      <c r="Y5" s="28">
        <f>'Phase 2'!G34</f>
        <v>20</v>
      </c>
      <c r="Z5" s="28">
        <f>'Phase 2'!G35</f>
        <v>10</v>
      </c>
      <c r="AA5" s="28">
        <f>'Phase 2'!G36</f>
        <v>30</v>
      </c>
      <c r="AB5" s="28">
        <f>'Phase 2'!G37</f>
        <v>15</v>
      </c>
      <c r="AC5" s="28">
        <f>'Phase 2'!G38</f>
        <v>25</v>
      </c>
      <c r="AD5" s="28">
        <f>'Phase 2'!G39</f>
        <v>10</v>
      </c>
      <c r="AE5" s="28">
        <f>'Phase 2'!G40</f>
        <v>10</v>
      </c>
      <c r="AF5" s="28">
        <f>'Phase 2'!G41</f>
        <v>25</v>
      </c>
      <c r="AG5" s="28">
        <f>'Phase 2'!G42</f>
        <v>15</v>
      </c>
      <c r="AH5" s="28">
        <f>'Phase 2'!G43</f>
        <v>25</v>
      </c>
      <c r="AI5" s="28">
        <f>'Phase 2'!G44</f>
        <v>30</v>
      </c>
      <c r="AJ5" s="28">
        <f>'Phase 2'!G45</f>
        <v>15</v>
      </c>
      <c r="AK5" s="28">
        <f>'Phase 2'!G46</f>
        <v>40</v>
      </c>
      <c r="AL5" s="28">
        <f>'Phase 2'!G47</f>
        <v>20</v>
      </c>
      <c r="AM5" s="28">
        <f>'Phase 2'!G48</f>
        <v>20</v>
      </c>
      <c r="AN5" s="28">
        <f>'Phase 2'!G49</f>
        <v>20</v>
      </c>
      <c r="AO5" s="28">
        <f>'Phase 2'!G50</f>
        <v>25</v>
      </c>
      <c r="AP5" s="28">
        <f>'Phase 2'!G51</f>
        <v>30</v>
      </c>
      <c r="AQ5" s="28">
        <f>'Phase 2'!G52</f>
        <v>35</v>
      </c>
      <c r="AR5" s="28">
        <f>'Phase 2'!G53</f>
        <v>35</v>
      </c>
      <c r="AS5" s="28">
        <f>'Phase 2'!G54</f>
        <v>20</v>
      </c>
      <c r="AT5" s="28">
        <f>'Phase 2'!G55</f>
        <v>15</v>
      </c>
      <c r="AU5" s="28">
        <f>'Phase 2'!G56</f>
        <v>15</v>
      </c>
      <c r="AV5" s="28">
        <f>'Phase 2'!G57</f>
        <v>15</v>
      </c>
      <c r="AW5" s="28">
        <f>'Phase 2'!G58</f>
        <v>50</v>
      </c>
      <c r="AX5" s="28">
        <f>'Phase 2'!G59</f>
        <v>25</v>
      </c>
      <c r="AY5" s="28">
        <f>'Phase 2'!G60</f>
        <v>25</v>
      </c>
      <c r="AZ5" s="28">
        <f>'Phase 2'!G61</f>
        <v>25</v>
      </c>
      <c r="BA5" s="28">
        <f>'Phase 2'!G62</f>
        <v>15</v>
      </c>
      <c r="BB5" s="28">
        <f>'Phase 2'!G63</f>
        <v>15</v>
      </c>
      <c r="BC5" s="28">
        <f>'Phase 2'!G64</f>
        <v>15</v>
      </c>
      <c r="BD5" s="28">
        <f>'Phase 2'!G65</f>
        <v>10</v>
      </c>
      <c r="BE5" s="28">
        <f>'Phase 2'!G66</f>
        <v>15</v>
      </c>
      <c r="BF5" s="28">
        <f>'Phase 2'!G67</f>
        <v>20</v>
      </c>
      <c r="BG5" s="28">
        <f>'Phase 2'!G68</f>
        <v>15</v>
      </c>
      <c r="BH5" s="28">
        <f>'Phase 2'!G69</f>
        <v>15</v>
      </c>
      <c r="BI5" s="28">
        <f>'Phase 2'!G70</f>
        <v>15</v>
      </c>
      <c r="BJ5" s="28">
        <f>'Phase 2'!G71</f>
        <v>40</v>
      </c>
      <c r="BK5" s="28">
        <f>'Phase 2'!G72</f>
        <v>15</v>
      </c>
      <c r="BL5" s="28">
        <f>'Phase 2'!G73</f>
        <v>15</v>
      </c>
      <c r="BM5" s="28">
        <f>'Phase 2'!G74</f>
        <v>20</v>
      </c>
      <c r="BN5" s="28">
        <f>'Phase 2'!G75</f>
        <v>100</v>
      </c>
      <c r="BO5" s="28">
        <f>'Phase 2'!G76</f>
        <v>40</v>
      </c>
      <c r="BP5" s="28">
        <f>'Phase 2'!G77</f>
        <v>5</v>
      </c>
      <c r="BQ5" s="28">
        <f>'Phase 2'!G78</f>
        <v>0</v>
      </c>
      <c r="BR5" s="28">
        <f>'Phase 2'!G79</f>
        <v>25</v>
      </c>
      <c r="BS5" s="28">
        <f>'Phase 2'!G80</f>
        <v>5</v>
      </c>
      <c r="BT5" s="28">
        <f>'Phase 2'!G81</f>
        <v>25</v>
      </c>
      <c r="BU5" s="28">
        <f>'Phase 2'!G82</f>
        <v>25</v>
      </c>
      <c r="BV5" s="28">
        <f>'Phase 2'!G83</f>
        <v>25</v>
      </c>
      <c r="BW5" s="28">
        <f>'Phase 2'!G84</f>
        <v>25</v>
      </c>
      <c r="BX5" s="28">
        <f>'Phase 2'!G85</f>
        <v>0</v>
      </c>
      <c r="BY5" s="28">
        <f>'Phase 2'!G86</f>
        <v>50</v>
      </c>
      <c r="BZ5" s="28">
        <f>'Phase 2'!G87</f>
        <v>50</v>
      </c>
      <c r="CA5" s="28">
        <f>'Phase 2'!G88</f>
        <v>20</v>
      </c>
      <c r="CB5" s="28">
        <f>'Phase 2'!G89</f>
        <v>250</v>
      </c>
      <c r="CC5" s="28">
        <f>'Phase 2'!G90</f>
        <v>25</v>
      </c>
      <c r="CD5" s="28">
        <f>'Phase 2'!G91</f>
        <v>0</v>
      </c>
      <c r="CE5" s="28">
        <f>'Phase 2'!G92</f>
        <v>35</v>
      </c>
      <c r="CF5" s="28">
        <f>'Phase 2'!G93</f>
        <v>200</v>
      </c>
      <c r="CG5" s="28">
        <f>'Phase 2'!G94</f>
        <v>50</v>
      </c>
      <c r="CH5" s="28">
        <f>'Phase 2'!G95</f>
        <v>0</v>
      </c>
      <c r="CI5" s="28">
        <f>'Phase 2'!G96</f>
        <v>125</v>
      </c>
      <c r="CJ5" s="28">
        <f>'Phase 2'!G97</f>
        <v>75</v>
      </c>
      <c r="CK5" s="28">
        <f>'Phase 2'!G98</f>
        <v>100</v>
      </c>
      <c r="CL5" s="28">
        <f>'Phase 2'!G99</f>
        <v>25</v>
      </c>
      <c r="CM5" s="28">
        <f>'Phase 2'!G100</f>
        <v>25</v>
      </c>
      <c r="CN5" s="28">
        <f>'Phase 2'!G101</f>
        <v>30</v>
      </c>
      <c r="CO5" s="28">
        <f>'Phase 2'!G102</f>
        <v>35</v>
      </c>
      <c r="CP5" s="28">
        <f>'Phase 2'!G103</f>
        <v>0</v>
      </c>
      <c r="CQ5" s="28">
        <f>'Phase 2'!G104</f>
        <v>0</v>
      </c>
      <c r="CR5" s="28">
        <f>'Phase 2'!G105</f>
        <v>20</v>
      </c>
      <c r="CS5" s="28">
        <f>'Phase 2'!G106</f>
        <v>15</v>
      </c>
      <c r="CT5" s="28">
        <f>'Phase 2'!G107</f>
        <v>15</v>
      </c>
      <c r="CU5" s="28">
        <f>'Phase 2'!G108</f>
        <v>25</v>
      </c>
      <c r="CV5" s="28">
        <f>'Phase 2'!G109</f>
        <v>20</v>
      </c>
      <c r="CW5" s="28">
        <f>'Phase 2'!G110</f>
        <v>15</v>
      </c>
      <c r="CX5" s="28">
        <f>'Phase 2'!G111</f>
        <v>20</v>
      </c>
      <c r="CY5" s="28">
        <f>'Phase 2'!G112</f>
        <v>25</v>
      </c>
      <c r="CZ5" s="28">
        <f>'Phase 2'!G113</f>
        <v>0</v>
      </c>
      <c r="DA5" s="28">
        <f>'Phase 2'!G114</f>
        <v>0</v>
      </c>
      <c r="DB5" s="28">
        <f>'Phase 2'!G115</f>
        <v>0</v>
      </c>
      <c r="DC5" s="28">
        <f>'Phase 2'!G116</f>
        <v>20</v>
      </c>
      <c r="DD5" s="28">
        <f>'Phase 2'!G117</f>
        <v>20</v>
      </c>
      <c r="DE5" s="28">
        <f>'Phase 2'!G118</f>
        <v>15</v>
      </c>
      <c r="DF5" s="28">
        <f>'Phase 2'!G119</f>
        <v>50</v>
      </c>
      <c r="DG5" s="28">
        <f>'Phase 2'!G120</f>
        <v>20</v>
      </c>
      <c r="DH5" s="28">
        <f>'Phase 2'!G121</f>
        <v>15</v>
      </c>
      <c r="DI5" s="28">
        <f>'Phase 2'!G122</f>
        <v>20</v>
      </c>
      <c r="DJ5" s="28">
        <f>'Phase 2'!G123</f>
        <v>15</v>
      </c>
      <c r="DK5" s="28">
        <f>'Phase 2'!G124</f>
        <v>10</v>
      </c>
      <c r="DL5" s="28">
        <f>'Phase 2'!G125</f>
        <v>35</v>
      </c>
      <c r="DM5" s="28">
        <f>'Phase 2'!G126</f>
        <v>20</v>
      </c>
      <c r="DN5" s="28">
        <f>'Phase 2'!G127</f>
        <v>10</v>
      </c>
      <c r="DO5" s="28">
        <f>'Phase 2'!G128</f>
        <v>10</v>
      </c>
      <c r="DP5" s="28">
        <f>'Phase 2'!G129</f>
        <v>20</v>
      </c>
      <c r="DQ5" s="28">
        <f>'Phase 2'!G130</f>
        <v>5</v>
      </c>
      <c r="DR5" s="28">
        <f>'Phase 2'!G131</f>
        <v>20</v>
      </c>
      <c r="DS5" s="28">
        <f>'Phase 2'!G132</f>
        <v>25</v>
      </c>
      <c r="DT5" s="28">
        <f>'Phase 2'!G133</f>
        <v>30</v>
      </c>
      <c r="DU5" s="28">
        <f>'Phase 2'!G134</f>
        <v>25</v>
      </c>
      <c r="DV5" s="28">
        <f>'Phase 2'!G135</f>
        <v>35</v>
      </c>
      <c r="DW5" s="28">
        <f>'Phase 2'!G136</f>
        <v>25</v>
      </c>
      <c r="DX5" s="28">
        <f>'Phase 2'!G137</f>
        <v>25</v>
      </c>
      <c r="DY5" s="28">
        <f>'Phase 2'!G138</f>
        <v>10</v>
      </c>
      <c r="DZ5" s="28">
        <f>'Phase 2'!G139</f>
        <v>30</v>
      </c>
      <c r="EA5" s="28">
        <f>'Phase 2'!G140</f>
        <v>50</v>
      </c>
      <c r="EB5" s="28">
        <f>'Phase 2'!G141</f>
        <v>25</v>
      </c>
      <c r="EC5" s="28">
        <f>'Phase 2'!G142</f>
        <v>25</v>
      </c>
      <c r="ED5" s="28">
        <f>'Phase 2'!G143</f>
        <v>30</v>
      </c>
      <c r="EE5" s="28">
        <f>'Phase 2'!G144</f>
        <v>20</v>
      </c>
      <c r="EF5" s="28">
        <f>'Phase 2'!G145</f>
        <v>25</v>
      </c>
      <c r="EG5" s="28">
        <f>'Phase 2'!G146</f>
        <v>25</v>
      </c>
      <c r="EH5" s="28">
        <f>'Phase 2'!G147</f>
        <v>10</v>
      </c>
      <c r="EI5" s="28">
        <f>'Phase 2'!G148</f>
        <v>25</v>
      </c>
      <c r="EJ5" s="28">
        <f>'Phase 2'!G149</f>
        <v>50</v>
      </c>
      <c r="EK5" s="28">
        <f>'Phase 2'!G150</f>
        <v>20</v>
      </c>
      <c r="EL5" s="28">
        <f>'Phase 2'!G151</f>
        <v>10</v>
      </c>
      <c r="EM5" s="28">
        <f>'Phase 2'!G152</f>
        <v>15</v>
      </c>
      <c r="EN5" s="28">
        <f>'Phase 2'!G153</f>
        <v>25</v>
      </c>
      <c r="EO5" s="28">
        <f>'Phase 2'!G154</f>
        <v>15</v>
      </c>
      <c r="EP5" s="28">
        <f>'Phase 2'!G155</f>
        <v>0</v>
      </c>
      <c r="EQ5" s="28">
        <f>'Phase 2'!G156</f>
        <v>0</v>
      </c>
      <c r="ER5" s="28">
        <f>'Phase 2'!G157</f>
        <v>0</v>
      </c>
      <c r="ES5" s="28">
        <f>'Phase 2'!G158</f>
        <v>0</v>
      </c>
      <c r="ET5" s="28">
        <f>'Phase 2'!G159</f>
        <v>0</v>
      </c>
      <c r="EU5" s="28">
        <f>'Phase 2'!G160</f>
        <v>0</v>
      </c>
      <c r="EV5" s="28">
        <f>'Phase 2'!G161</f>
        <v>0</v>
      </c>
      <c r="EW5" s="28">
        <f>'Phase 2'!G162</f>
        <v>0</v>
      </c>
      <c r="EX5" s="28">
        <f>'Phase 2'!G163</f>
        <v>15</v>
      </c>
      <c r="EY5" s="28">
        <f>'Phase 2'!G164</f>
        <v>15</v>
      </c>
      <c r="EZ5" s="28">
        <f>'Phase 2'!G165</f>
        <v>15</v>
      </c>
      <c r="FA5" s="28">
        <f>'Phase 2'!G166</f>
        <v>0</v>
      </c>
      <c r="FB5" s="28">
        <f>'Phase 2'!G167</f>
        <v>0</v>
      </c>
      <c r="FC5" s="28">
        <f>'Phase 2'!G168</f>
        <v>30</v>
      </c>
      <c r="FD5" s="28">
        <f>'Phase 2'!G169</f>
        <v>15</v>
      </c>
      <c r="FE5" s="28">
        <f>'Phase 2'!G170</f>
        <v>35</v>
      </c>
      <c r="FF5" s="28">
        <f>'Phase 2'!G171</f>
        <v>0</v>
      </c>
      <c r="FG5" s="28">
        <f>'Phase 2'!G172</f>
        <v>40</v>
      </c>
      <c r="FH5" s="28">
        <f>'Phase 2'!G173</f>
        <v>40</v>
      </c>
      <c r="FI5" s="28">
        <f>'Phase 2'!G174</f>
        <v>0</v>
      </c>
      <c r="FJ5" s="28">
        <f>'Phase 2'!G175</f>
        <v>0</v>
      </c>
      <c r="FK5" s="28">
        <f>'Phase 2'!G176</f>
        <v>0</v>
      </c>
      <c r="FL5" s="28">
        <f>'Phase 2'!G177</f>
        <v>0</v>
      </c>
      <c r="FM5" s="28">
        <f>'Phase 2'!G178</f>
        <v>0</v>
      </c>
      <c r="FN5" s="28">
        <f>'Phase 2'!G179</f>
        <v>0</v>
      </c>
      <c r="FO5" s="28">
        <f>'Phase 2'!G180</f>
        <v>0</v>
      </c>
      <c r="FP5" s="28">
        <f>'Phase 2'!G181</f>
        <v>0</v>
      </c>
      <c r="FQ5" s="28">
        <f>'Phase 2'!G182</f>
        <v>0</v>
      </c>
      <c r="FR5" s="28">
        <f>'Phase 2'!G183</f>
        <v>0</v>
      </c>
      <c r="FS5" s="28">
        <f>'Phase 2'!G184</f>
        <v>0</v>
      </c>
      <c r="FT5" s="28">
        <f>'Phase 2'!G185</f>
        <v>0</v>
      </c>
      <c r="FU5" s="28">
        <f>'Phase 2'!G186</f>
        <v>125</v>
      </c>
      <c r="FV5" s="28">
        <f>'Phase 2'!G187</f>
        <v>35</v>
      </c>
      <c r="FW5" s="28">
        <f>'Phase 2'!G188</f>
        <v>0</v>
      </c>
      <c r="FX5" s="28">
        <f>'Phase 2'!G189</f>
        <v>0</v>
      </c>
      <c r="FY5" s="28">
        <f>'Phase 2'!G190</f>
        <v>0</v>
      </c>
      <c r="FZ5" s="28">
        <f>'Phase 2'!G191</f>
        <v>0</v>
      </c>
      <c r="GA5" s="28">
        <f>'Phase 2'!G192</f>
        <v>0</v>
      </c>
      <c r="GB5" s="28">
        <f>'Phase 2'!G193</f>
        <v>0</v>
      </c>
      <c r="GC5" s="28">
        <f>'Phase 2'!G194</f>
        <v>0</v>
      </c>
      <c r="GD5" s="28">
        <f>'Phase 2'!G195</f>
        <v>0</v>
      </c>
      <c r="GE5" s="28">
        <f>'Phase 2'!G196</f>
        <v>0</v>
      </c>
      <c r="GF5" s="28">
        <f>'Phase 2'!G197</f>
        <v>0</v>
      </c>
      <c r="GG5" s="28">
        <f>'Phase 2'!G198</f>
        <v>0</v>
      </c>
      <c r="GH5" s="28">
        <f>'Phase 2'!G199</f>
        <v>0</v>
      </c>
      <c r="GI5" s="28">
        <f>'Phase 2'!G200</f>
        <v>0</v>
      </c>
      <c r="GJ5" s="28">
        <f>'Phase 2'!G201</f>
        <v>0</v>
      </c>
      <c r="GK5" s="28">
        <f>'Phase 2'!G202</f>
        <v>0</v>
      </c>
      <c r="GL5" s="28">
        <f>'Phase 2'!G203</f>
        <v>0</v>
      </c>
      <c r="GM5" s="28">
        <f>'Phase 2'!G204</f>
        <v>0</v>
      </c>
      <c r="GN5" s="28">
        <f>'Phase 2'!G205</f>
        <v>0</v>
      </c>
      <c r="GO5" s="28">
        <f>'Phase 2'!G206</f>
        <v>0</v>
      </c>
      <c r="GP5" s="28">
        <f>'Phase 2'!G207</f>
        <v>0</v>
      </c>
      <c r="GQ5" s="28">
        <f>'Phase 2'!G208</f>
        <v>0</v>
      </c>
      <c r="GR5" s="28">
        <f>'Phase 2'!G209</f>
        <v>0</v>
      </c>
      <c r="GS5" s="28">
        <f>'Phase 2'!G210</f>
        <v>0</v>
      </c>
      <c r="GT5" s="28">
        <f>'Phase 2'!G211</f>
        <v>0</v>
      </c>
      <c r="GU5" s="28">
        <f>'Phase 2'!G212</f>
        <v>0</v>
      </c>
      <c r="GV5" s="28">
        <f>'Phase 2'!G213</f>
        <v>0</v>
      </c>
      <c r="GW5" s="28">
        <f>'Phase 2'!G214</f>
        <v>0</v>
      </c>
      <c r="GX5" s="28">
        <f>'Phase 2'!G215</f>
        <v>0</v>
      </c>
      <c r="GY5" s="28">
        <f>'Phase 2'!G216</f>
        <v>0</v>
      </c>
      <c r="GZ5" s="28">
        <f>'Phase 2'!G217</f>
        <v>0</v>
      </c>
      <c r="HA5" s="28">
        <f>'Phase 2'!G218</f>
        <v>0</v>
      </c>
      <c r="HB5" s="28">
        <f>'Phase 2'!G219</f>
        <v>0</v>
      </c>
      <c r="HC5" s="28">
        <f>'Phase 2'!G220</f>
        <v>0</v>
      </c>
      <c r="HD5" s="28">
        <f>'Phase 2'!G221</f>
        <v>0</v>
      </c>
      <c r="HE5" s="28">
        <f>'Phase 2'!G222</f>
        <v>0</v>
      </c>
      <c r="HF5" s="28">
        <f>'Phase 2'!G223</f>
        <v>0</v>
      </c>
      <c r="HG5" s="28">
        <f>'Phase 2'!G224</f>
        <v>0</v>
      </c>
      <c r="HH5" s="28">
        <f>'Phase 2'!G225</f>
        <v>0</v>
      </c>
      <c r="HI5" s="28">
        <f>'Phase 2'!G226</f>
        <v>0</v>
      </c>
      <c r="HJ5" s="28">
        <f>'Phase 2'!G227</f>
        <v>0</v>
      </c>
      <c r="HK5" s="28">
        <f>'Phase 2'!G228</f>
        <v>0</v>
      </c>
      <c r="HL5" s="28">
        <f>'Phase 2'!G229</f>
        <v>0</v>
      </c>
      <c r="HM5" s="28">
        <f>'Phase 2'!G230</f>
        <v>0</v>
      </c>
      <c r="HN5" s="28">
        <f>'Phase 2'!G231</f>
        <v>0</v>
      </c>
      <c r="HO5" s="28">
        <f>'Phase 2'!G232</f>
        <v>0</v>
      </c>
      <c r="HP5" s="28">
        <f>'Phase 2'!G233</f>
        <v>0</v>
      </c>
      <c r="HQ5" s="28">
        <f>'Phase 2'!G234</f>
        <v>0</v>
      </c>
      <c r="HR5" s="28">
        <f>'Phase 2'!G235</f>
        <v>0</v>
      </c>
      <c r="HS5" s="28">
        <f>'Phase 2'!G236</f>
        <v>0</v>
      </c>
      <c r="HT5" s="28">
        <f>'Phase 2'!G237</f>
        <v>0</v>
      </c>
      <c r="HU5" s="28">
        <f>'Phase 2'!G238</f>
        <v>0</v>
      </c>
      <c r="HV5" s="28">
        <f>'Phase 2'!G239</f>
        <v>0</v>
      </c>
      <c r="HW5" s="28">
        <f>'Phase 2'!G240</f>
        <v>0</v>
      </c>
      <c r="HX5" s="28">
        <f>'Phase 2'!G241</f>
        <v>0</v>
      </c>
      <c r="HY5" s="28">
        <f>'Phase 2'!G242</f>
        <v>0</v>
      </c>
      <c r="HZ5" s="28">
        <f>'Phase 2'!G243</f>
        <v>0</v>
      </c>
      <c r="IA5" s="28">
        <f>'Phase 2'!G244</f>
        <v>0</v>
      </c>
      <c r="IB5" s="28"/>
      <c r="IC5" s="28"/>
      <c r="ID5" s="28"/>
      <c r="IE5" s="28"/>
      <c r="IF5" s="28">
        <f>SUM(E5:EO5)</f>
        <v>3740</v>
      </c>
      <c r="IG5" s="28">
        <f>SUM(EP5:GN5)</f>
        <v>365</v>
      </c>
      <c r="IH5" s="28">
        <f>MIN(IF5+IG5,IF4)</f>
        <v>4045</v>
      </c>
      <c r="II5" s="28">
        <f>MIN(SUM(GO5:IA5,MAX(IG5+IF5-IF4,0)/3),II4)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Phase 0</vt:lpstr>
      <vt:lpstr>Phase 1</vt:lpstr>
      <vt:lpstr>Phase 2</vt:lpstr>
      <vt:lpstr>_logic_p0</vt:lpstr>
      <vt:lpstr>_logic_p1</vt:lpstr>
      <vt:lpstr>_logic_p2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 jahanbin</cp:lastModifiedBy>
  <dcterms:modified xsi:type="dcterms:W3CDTF">2026-08-25T15:26:37Z</dcterms:modified>
</cp:coreProperties>
</file>